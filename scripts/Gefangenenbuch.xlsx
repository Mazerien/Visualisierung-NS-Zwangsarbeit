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loke\Desktop\VS_Zwangsarbeit\Polizei\Gefangenenbuch_Auszug1936_1943\ExcelExport\"/>
    </mc:Choice>
  </mc:AlternateContent>
  <xr:revisionPtr revIDLastSave="0" documentId="13_ncr:1_{B4AF53F3-3571-4E61-A970-F3BA0AD50D1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ExportResul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5" i="1" l="1"/>
  <c r="W19" i="1"/>
  <c r="W70" i="1"/>
  <c r="W65" i="1"/>
  <c r="W51" i="1"/>
  <c r="U85" i="1"/>
  <c r="U108" i="1"/>
  <c r="U82" i="1"/>
  <c r="U95" i="1"/>
  <c r="U40" i="1"/>
  <c r="U47" i="1"/>
  <c r="U33" i="1"/>
  <c r="U39" i="1"/>
  <c r="U60" i="1"/>
  <c r="U43" i="1"/>
  <c r="U42" i="1"/>
  <c r="U41" i="1"/>
  <c r="U66" i="1"/>
  <c r="U37" i="1"/>
  <c r="U18" i="1"/>
  <c r="U45" i="1"/>
  <c r="U10" i="1"/>
  <c r="U24" i="1"/>
  <c r="U38" i="1"/>
  <c r="U73" i="1"/>
  <c r="U107" i="1"/>
  <c r="U6" i="1"/>
  <c r="U74" i="1"/>
  <c r="U70" i="1"/>
  <c r="U65" i="1"/>
  <c r="U89" i="1"/>
  <c r="U53" i="1"/>
  <c r="U71" i="1"/>
  <c r="U90" i="1"/>
  <c r="U97" i="1"/>
  <c r="U91" i="1"/>
  <c r="U63" i="1"/>
  <c r="U56" i="1"/>
  <c r="U64" i="1"/>
  <c r="U48" i="1"/>
  <c r="U13" i="1"/>
  <c r="U26" i="1"/>
  <c r="U98" i="1"/>
  <c r="U92" i="1"/>
  <c r="U99" i="1"/>
  <c r="U69" i="1"/>
  <c r="U17" i="1"/>
  <c r="U100" i="1"/>
  <c r="U27" i="1"/>
  <c r="U54" i="1"/>
  <c r="U28" i="1"/>
  <c r="U104" i="1"/>
  <c r="U101" i="1"/>
  <c r="U36" i="1"/>
  <c r="U62" i="1"/>
  <c r="U106" i="1"/>
  <c r="U77" i="1"/>
  <c r="U22" i="1"/>
  <c r="U23" i="1"/>
  <c r="U86" i="1"/>
  <c r="U102" i="1"/>
  <c r="U105" i="1"/>
  <c r="U16" i="1"/>
  <c r="U61" i="1"/>
  <c r="U7" i="1"/>
  <c r="U35" i="1"/>
  <c r="U12" i="1"/>
  <c r="U76" i="1"/>
  <c r="U80" i="1"/>
  <c r="U15" i="1"/>
  <c r="U81" i="1"/>
  <c r="U55" i="1"/>
  <c r="U8" i="1"/>
  <c r="U44" i="1"/>
  <c r="U96" i="1"/>
  <c r="U31" i="1"/>
  <c r="U20" i="1"/>
  <c r="U103" i="1"/>
  <c r="U75" i="1"/>
  <c r="U83" i="1"/>
  <c r="U34" i="1"/>
  <c r="U93" i="1"/>
  <c r="U46" i="1"/>
  <c r="U21" i="1"/>
  <c r="U72" i="1"/>
  <c r="U88" i="1"/>
  <c r="U67" i="1"/>
  <c r="U51" i="1"/>
  <c r="U32" i="1"/>
  <c r="U79" i="1"/>
  <c r="U14" i="1"/>
  <c r="U59" i="1"/>
  <c r="U52" i="1"/>
  <c r="U11" i="1"/>
  <c r="U49" i="1"/>
  <c r="U50" i="1"/>
  <c r="U19" i="1"/>
  <c r="U87" i="1"/>
  <c r="U30" i="1"/>
  <c r="U94" i="1"/>
  <c r="U29" i="1"/>
  <c r="U9" i="1"/>
  <c r="U25" i="1"/>
  <c r="U78" i="1"/>
  <c r="U68" i="1"/>
  <c r="U84" i="1"/>
  <c r="U58" i="1"/>
  <c r="U57" i="1"/>
  <c r="W54" i="1"/>
  <c r="W55" i="1"/>
  <c r="W56" i="1"/>
  <c r="W57" i="1"/>
  <c r="W58" i="1"/>
  <c r="W59" i="1"/>
  <c r="W60" i="1"/>
  <c r="W61" i="1"/>
  <c r="W62" i="1"/>
  <c r="W63" i="1"/>
  <c r="W64" i="1"/>
  <c r="W66" i="1"/>
  <c r="W67" i="1"/>
  <c r="W68" i="1"/>
  <c r="W69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2" i="1"/>
  <c r="W53" i="1"/>
</calcChain>
</file>

<file path=xl/sharedStrings.xml><?xml version="1.0" encoding="utf-8"?>
<sst xmlns="http://schemas.openxmlformats.org/spreadsheetml/2006/main" count="1195" uniqueCount="594">
  <si>
    <t>Nachname</t>
  </si>
  <si>
    <t>Vorname</t>
  </si>
  <si>
    <t>Geburtsname</t>
  </si>
  <si>
    <t>Geburtsdatum</t>
  </si>
  <si>
    <t>Religion</t>
  </si>
  <si>
    <t>Nationalität</t>
  </si>
  <si>
    <t>Haftstätte</t>
  </si>
  <si>
    <t>Sterbedatum</t>
  </si>
  <si>
    <t>Letzter Wohnort (Land)</t>
  </si>
  <si>
    <t>Letzter Wohnort (Provinz)</t>
  </si>
  <si>
    <t>Letzter Wohnort (Ort)</t>
  </si>
  <si>
    <t>Letzter Wohnort (Stadtteil)</t>
  </si>
  <si>
    <t>ADAMZEWSKY</t>
  </si>
  <si>
    <t>Stanislaw</t>
  </si>
  <si>
    <t>Litzmannstadt</t>
  </si>
  <si>
    <t>BAZEL</t>
  </si>
  <si>
    <t>Wladislaw</t>
  </si>
  <si>
    <t>Jeszewa/Polen</t>
  </si>
  <si>
    <t>BOGOTAN</t>
  </si>
  <si>
    <t>Bognsiak</t>
  </si>
  <si>
    <t>Gumelime</t>
  </si>
  <si>
    <t>BYRTUS</t>
  </si>
  <si>
    <t>Lille</t>
  </si>
  <si>
    <t>CHENZINSKI</t>
  </si>
  <si>
    <t>Janus</t>
  </si>
  <si>
    <t>Gohna/ Polen</t>
  </si>
  <si>
    <t>DEVIS</t>
  </si>
  <si>
    <t>Roger</t>
  </si>
  <si>
    <t>DUTKA</t>
  </si>
  <si>
    <t>Eugen</t>
  </si>
  <si>
    <t>Saybusch</t>
  </si>
  <si>
    <t>Bielitz</t>
  </si>
  <si>
    <t>ILOWICKI</t>
  </si>
  <si>
    <t>Jan</t>
  </si>
  <si>
    <t>Kattowitz/ Polen</t>
  </si>
  <si>
    <t>JANUSZ</t>
  </si>
  <si>
    <t>Josef</t>
  </si>
  <si>
    <t>Kaniow Kr. Bleitiz</t>
  </si>
  <si>
    <t>KAWA</t>
  </si>
  <si>
    <t>Wozeich</t>
  </si>
  <si>
    <t>Sloda Kr. Rosek</t>
  </si>
  <si>
    <t>KORBEL</t>
  </si>
  <si>
    <t>Jerzy</t>
  </si>
  <si>
    <t>Blachownia/ Polen</t>
  </si>
  <si>
    <t>KUBIAK</t>
  </si>
  <si>
    <t>Stafan</t>
  </si>
  <si>
    <t>Lodz</t>
  </si>
  <si>
    <t>LECIEREC</t>
  </si>
  <si>
    <t>Moise</t>
  </si>
  <si>
    <t>LECLERRY</t>
  </si>
  <si>
    <t>Marie</t>
  </si>
  <si>
    <t>LEONORTWICZ</t>
  </si>
  <si>
    <t>Helene</t>
  </si>
  <si>
    <t>Sokol/ Polen</t>
  </si>
  <si>
    <t>LLOYD</t>
  </si>
  <si>
    <t>Harry</t>
  </si>
  <si>
    <t>LIVERPOOL</t>
  </si>
  <si>
    <t>MOGILEKI</t>
  </si>
  <si>
    <t>Ladislaus</t>
  </si>
  <si>
    <t>Plotzgl</t>
  </si>
  <si>
    <t>MOGILSKI</t>
  </si>
  <si>
    <t>Wladislaus</t>
  </si>
  <si>
    <t>Plask Polen</t>
  </si>
  <si>
    <t>MONIK</t>
  </si>
  <si>
    <t>Iwa</t>
  </si>
  <si>
    <t>Bialystok</t>
  </si>
  <si>
    <t>MUTSERS</t>
  </si>
  <si>
    <t>Petrus</t>
  </si>
  <si>
    <t>Woensel Bez. Eindhaven/ Hell.</t>
  </si>
  <si>
    <t>PAJAK</t>
  </si>
  <si>
    <t>PARASZCZUK</t>
  </si>
  <si>
    <t>Wasyl</t>
  </si>
  <si>
    <t>Chilzgez</t>
  </si>
  <si>
    <t>PAULMARCEH</t>
  </si>
  <si>
    <t>Andre</t>
  </si>
  <si>
    <t>Paris</t>
  </si>
  <si>
    <t>PIWOWARTZKI</t>
  </si>
  <si>
    <t>Stanislaus</t>
  </si>
  <si>
    <t>Biltz</t>
  </si>
  <si>
    <t>PORELSKI</t>
  </si>
  <si>
    <t>Krakau</t>
  </si>
  <si>
    <t>SZATKOWSKI</t>
  </si>
  <si>
    <t>Arktivinsk/ Russl.</t>
  </si>
  <si>
    <t>SZULAK</t>
  </si>
  <si>
    <t>Johann</t>
  </si>
  <si>
    <t>Karkau</t>
  </si>
  <si>
    <t>TUCHOLSKI</t>
  </si>
  <si>
    <t>Thaddäus</t>
  </si>
  <si>
    <t>Taddäus</t>
  </si>
  <si>
    <t>Taddeus</t>
  </si>
  <si>
    <t>WESOLY</t>
  </si>
  <si>
    <t>Zenon</t>
  </si>
  <si>
    <t>Lap</t>
  </si>
  <si>
    <t>ANDEL</t>
  </si>
  <si>
    <t>Wenzel</t>
  </si>
  <si>
    <t>Prag</t>
  </si>
  <si>
    <t>BARBAT</t>
  </si>
  <si>
    <t>Suzanne</t>
  </si>
  <si>
    <t>BERNARD</t>
  </si>
  <si>
    <t>Emilie</t>
  </si>
  <si>
    <t>Rouen</t>
  </si>
  <si>
    <t>BUDARINA</t>
  </si>
  <si>
    <t>Maria</t>
  </si>
  <si>
    <t>OSTABERITERIN</t>
  </si>
  <si>
    <t>Sragoist</t>
  </si>
  <si>
    <t>BURGIOTTI</t>
  </si>
  <si>
    <t>Paulette</t>
  </si>
  <si>
    <t>THEBOLT</t>
  </si>
  <si>
    <t>COMEZ ANIECT</t>
  </si>
  <si>
    <t>Franz</t>
  </si>
  <si>
    <t>Bordeaux</t>
  </si>
  <si>
    <t>DE MOULEMESTER</t>
  </si>
  <si>
    <t>Michel</t>
  </si>
  <si>
    <t>WASMES</t>
  </si>
  <si>
    <t>DECLERQ</t>
  </si>
  <si>
    <t>Alfons</t>
  </si>
  <si>
    <t>FAUVRE</t>
  </si>
  <si>
    <t>Yvette</t>
  </si>
  <si>
    <t>Matres de Veyere</t>
  </si>
  <si>
    <t>GARCIA</t>
  </si>
  <si>
    <t>Berthelemy</t>
  </si>
  <si>
    <t>GRÄBER</t>
  </si>
  <si>
    <t>Willaim</t>
  </si>
  <si>
    <t>Chaux de France</t>
  </si>
  <si>
    <t>HEUZE</t>
  </si>
  <si>
    <t>Andrè</t>
  </si>
  <si>
    <t>Pueteaux/ Frankr.</t>
  </si>
  <si>
    <t>HOUBEN</t>
  </si>
  <si>
    <t>Janhoven</t>
  </si>
  <si>
    <t>HUSSON</t>
  </si>
  <si>
    <t>Georges</t>
  </si>
  <si>
    <t>Fumy</t>
  </si>
  <si>
    <t>JRIGNET</t>
  </si>
  <si>
    <t>JURIC</t>
  </si>
  <si>
    <t>Ante</t>
  </si>
  <si>
    <t>KIJOWSKA</t>
  </si>
  <si>
    <t>Katarina</t>
  </si>
  <si>
    <t>LISKOWATE</t>
  </si>
  <si>
    <t>KISCHOWA</t>
  </si>
  <si>
    <t>Matrina</t>
  </si>
  <si>
    <t>KONDUR</t>
  </si>
  <si>
    <t>Ilko</t>
  </si>
  <si>
    <t>Houszow</t>
  </si>
  <si>
    <t>KRUPA</t>
  </si>
  <si>
    <t>LEFRANX</t>
  </si>
  <si>
    <t>Marcel</t>
  </si>
  <si>
    <t>GAGNY</t>
  </si>
  <si>
    <t>MANDRAKORA</t>
  </si>
  <si>
    <t>Natalie</t>
  </si>
  <si>
    <t>Dnjepropetrowsk</t>
  </si>
  <si>
    <t>MARRET</t>
  </si>
  <si>
    <t>Granger</t>
  </si>
  <si>
    <t>SUZANNE</t>
  </si>
  <si>
    <t>Renè</t>
  </si>
  <si>
    <t>Wezirs Frankr.</t>
  </si>
  <si>
    <t>POTHIER</t>
  </si>
  <si>
    <t>Francois</t>
  </si>
  <si>
    <t>Lapalisse</t>
  </si>
  <si>
    <t>PREVOST</t>
  </si>
  <si>
    <t>DIESSLINGEN</t>
  </si>
  <si>
    <t>Metz</t>
  </si>
  <si>
    <t>PYC</t>
  </si>
  <si>
    <t>Lucien</t>
  </si>
  <si>
    <t>Liztmannstadt</t>
  </si>
  <si>
    <t>ROUÈ</t>
  </si>
  <si>
    <t>Genevie</t>
  </si>
  <si>
    <t>Fernand Julet</t>
  </si>
  <si>
    <t>Bacyille</t>
  </si>
  <si>
    <t>RULIAK</t>
  </si>
  <si>
    <t>Anna</t>
  </si>
  <si>
    <t>Oleschat</t>
  </si>
  <si>
    <t>SAMIER</t>
  </si>
  <si>
    <t>Andrèe</t>
  </si>
  <si>
    <t>SIEKLER</t>
  </si>
  <si>
    <t>Jaqueliere</t>
  </si>
  <si>
    <t>SIRUCIE</t>
  </si>
  <si>
    <t>Mohmed</t>
  </si>
  <si>
    <t>TRUS</t>
  </si>
  <si>
    <t>Nikolai</t>
  </si>
  <si>
    <t>Nikota</t>
  </si>
  <si>
    <t>VAN DER SLUIS</t>
  </si>
  <si>
    <t>Jeannette</t>
  </si>
  <si>
    <t>Rotterdam</t>
  </si>
  <si>
    <t>Sludis</t>
  </si>
  <si>
    <t>VAN HALL</t>
  </si>
  <si>
    <t>WALKOWICKI</t>
  </si>
  <si>
    <t>Stefan</t>
  </si>
  <si>
    <t>WENGIERSKI</t>
  </si>
  <si>
    <t>ZIWULKA</t>
  </si>
  <si>
    <t>Mirosch</t>
  </si>
  <si>
    <t>Zenechy Kr. Laun</t>
  </si>
  <si>
    <t>BAYLE</t>
  </si>
  <si>
    <t>Rinie</t>
  </si>
  <si>
    <t>FRANKREICH</t>
  </si>
  <si>
    <t>BERJORNEAX</t>
  </si>
  <si>
    <t>BRULIN</t>
  </si>
  <si>
    <t>Marthe</t>
  </si>
  <si>
    <t>Vinet</t>
  </si>
  <si>
    <t>COCU</t>
  </si>
  <si>
    <t>Augustin</t>
  </si>
  <si>
    <t>Laval - Trahegius</t>
  </si>
  <si>
    <t>CZUDZEK</t>
  </si>
  <si>
    <t>DUCHAUD</t>
  </si>
  <si>
    <t>Mireille</t>
  </si>
  <si>
    <t>FERNANDE</t>
  </si>
  <si>
    <t>Delado</t>
  </si>
  <si>
    <t>FIEVET</t>
  </si>
  <si>
    <t>Gaston</t>
  </si>
  <si>
    <t>Bandur Belgien</t>
  </si>
  <si>
    <t>Bartholmä</t>
  </si>
  <si>
    <t>KROL</t>
  </si>
  <si>
    <t>LAHAYE</t>
  </si>
  <si>
    <t>Jean Josef</t>
  </si>
  <si>
    <t>Grez</t>
  </si>
  <si>
    <t>LAVIN</t>
  </si>
  <si>
    <t>Levallois- Perre</t>
  </si>
  <si>
    <t>LE BRUMENT</t>
  </si>
  <si>
    <t>Christiane</t>
  </si>
  <si>
    <t>Braczenatin</t>
  </si>
  <si>
    <t>LEBRUMENT</t>
  </si>
  <si>
    <t>LORY</t>
  </si>
  <si>
    <t>Paul Marie</t>
  </si>
  <si>
    <t>Argenton/ Frankr.</t>
  </si>
  <si>
    <t>NIEMIEC</t>
  </si>
  <si>
    <t>OCULA</t>
  </si>
  <si>
    <t>Eduard</t>
  </si>
  <si>
    <t>Rouboix Frankr.</t>
  </si>
  <si>
    <t>PIETSCH</t>
  </si>
  <si>
    <t>Luzian</t>
  </si>
  <si>
    <t>REIMUND</t>
  </si>
  <si>
    <t>Adam</t>
  </si>
  <si>
    <t>Montreuil</t>
  </si>
  <si>
    <t>REMBOUÈ</t>
  </si>
  <si>
    <t>SCHAUB</t>
  </si>
  <si>
    <t>SÖSIEDKO</t>
  </si>
  <si>
    <t>Sofie</t>
  </si>
  <si>
    <t>Halitz / Polen</t>
  </si>
  <si>
    <t>SPITZIG</t>
  </si>
  <si>
    <t>Henrik</t>
  </si>
  <si>
    <t>TAELEMAN</t>
  </si>
  <si>
    <t>Robert</t>
  </si>
  <si>
    <t>Mellone</t>
  </si>
  <si>
    <t>TERMINI</t>
  </si>
  <si>
    <t>Claude</t>
  </si>
  <si>
    <t>Liste X</t>
  </si>
  <si>
    <t>Geburt‏sort</t>
  </si>
  <si>
    <t>Arolsen Archives, 2.1.3.1. - docID 70824860 bis 70824862 (insges. 6 S.)</t>
  </si>
  <si>
    <t>Nachname (korrigiert)</t>
  </si>
  <si>
    <t>Vorname (korrigiert)</t>
  </si>
  <si>
    <t>Person-ID</t>
  </si>
  <si>
    <t>Aufenthalt (von)</t>
  </si>
  <si>
    <t>Aufenthalt (bis)</t>
  </si>
  <si>
    <t>Haftgrund</t>
  </si>
  <si>
    <t>Schwenningen</t>
  </si>
  <si>
    <t>Unterkunft2</t>
  </si>
  <si>
    <t>Unternehmen</t>
  </si>
  <si>
    <t>Unternehmen2</t>
  </si>
  <si>
    <t>Dauer Aufenthalt</t>
  </si>
  <si>
    <t>von</t>
  </si>
  <si>
    <t>Sterbeort</t>
  </si>
  <si>
    <t>Name Vater</t>
  </si>
  <si>
    <t>Name Mutter</t>
  </si>
  <si>
    <t>Angehörige (Gen 0)</t>
  </si>
  <si>
    <t>#PrisonerNo</t>
  </si>
  <si>
    <t>bis</t>
  </si>
  <si>
    <t>Letzter Wohnort (Straße+Nr.)</t>
  </si>
  <si>
    <t>Herkunft</t>
  </si>
  <si>
    <t>Ehe?</t>
  </si>
  <si>
    <t>Befreiung</t>
  </si>
  <si>
    <t>Letzter bekannter Wohnort</t>
  </si>
  <si>
    <t>Listen-ID (Aufenthalte)</t>
  </si>
  <si>
    <t>Gef.Buch-Nr.</t>
  </si>
  <si>
    <t>Auszug Gefangenenbuch Polizei Schwenningen (4.4.1936-4.10.1943)</t>
  </si>
  <si>
    <t>GB_s1_01</t>
  </si>
  <si>
    <t>GB_s1_02</t>
  </si>
  <si>
    <t>Ausländer</t>
  </si>
  <si>
    <t>Schutzhaft</t>
  </si>
  <si>
    <t>Status DocAufnahme</t>
  </si>
  <si>
    <t>Dauer (in Tagen)</t>
  </si>
  <si>
    <t>Deisslingen</t>
  </si>
  <si>
    <t>Berufsangabe</t>
  </si>
  <si>
    <t>El.Mech</t>
  </si>
  <si>
    <t>GB_s1_03</t>
  </si>
  <si>
    <t>GB_s1_04</t>
  </si>
  <si>
    <t>GB_s1_05</t>
  </si>
  <si>
    <t>GB_s1_06</t>
  </si>
  <si>
    <t>GB_s1_07</t>
  </si>
  <si>
    <t>GB_s1_08</t>
  </si>
  <si>
    <t>GB_s1_09</t>
  </si>
  <si>
    <t>GB_s1_10</t>
  </si>
  <si>
    <t>GB_s1_11</t>
  </si>
  <si>
    <t>GB_s1_12</t>
  </si>
  <si>
    <t>GB_s1_13</t>
  </si>
  <si>
    <t>GB_s1_14</t>
  </si>
  <si>
    <t>GB_s1_15</t>
  </si>
  <si>
    <t>GB_s1_16</t>
  </si>
  <si>
    <t>Jahr</t>
  </si>
  <si>
    <t>lfd.Nr.</t>
  </si>
  <si>
    <t>136?</t>
  </si>
  <si>
    <t>?</t>
  </si>
  <si>
    <t>? (170/171/172)</t>
  </si>
  <si>
    <t>GB_s2_01</t>
  </si>
  <si>
    <t>GB_s2_02</t>
  </si>
  <si>
    <t>GB_s2_03</t>
  </si>
  <si>
    <t>GB_s2_04</t>
  </si>
  <si>
    <t>GB_s2_05</t>
  </si>
  <si>
    <t>GB_s2_06</t>
  </si>
  <si>
    <t>GB_s2_07</t>
  </si>
  <si>
    <t>GB_s2_08</t>
  </si>
  <si>
    <t>GB_s2_09</t>
  </si>
  <si>
    <t>GB_s2_10</t>
  </si>
  <si>
    <t>GB_s2_11</t>
  </si>
  <si>
    <t>GB_s2_12</t>
  </si>
  <si>
    <t>GB_s2_13</t>
  </si>
  <si>
    <t>238/248</t>
  </si>
  <si>
    <t>GB_s2_14</t>
  </si>
  <si>
    <t>GB_s2_15</t>
  </si>
  <si>
    <t>GB_s2_16</t>
  </si>
  <si>
    <t>GB_s2_17</t>
  </si>
  <si>
    <t>GB_s2_18</t>
  </si>
  <si>
    <t>GB_s2_19</t>
  </si>
  <si>
    <t>GB_s2_20</t>
  </si>
  <si>
    <t>GB_s3_01</t>
  </si>
  <si>
    <t>GB_s3_02</t>
  </si>
  <si>
    <t>GB_s3_03</t>
  </si>
  <si>
    <t>GB_s3_04</t>
  </si>
  <si>
    <t>GB_s3_05</t>
  </si>
  <si>
    <t>GB_s3_06</t>
  </si>
  <si>
    <t>GB_s3_07</t>
  </si>
  <si>
    <t>GB_s3_08</t>
  </si>
  <si>
    <t>GB_s3_09</t>
  </si>
  <si>
    <t>GB_s3_10</t>
  </si>
  <si>
    <t>GB_s3_11</t>
  </si>
  <si>
    <t>GB_s3_12</t>
  </si>
  <si>
    <t>GB_s3_13</t>
  </si>
  <si>
    <t>GB_s3_14</t>
  </si>
  <si>
    <t>GB_s3_15</t>
  </si>
  <si>
    <t>GB_s3_16</t>
  </si>
  <si>
    <t>283?</t>
  </si>
  <si>
    <t>GB_s3_17</t>
  </si>
  <si>
    <t>GB_s3_18</t>
  </si>
  <si>
    <t>GB_s3_19</t>
  </si>
  <si>
    <t>GB_s3_20</t>
  </si>
  <si>
    <t>GB_s4_01</t>
  </si>
  <si>
    <t>GB_s4_02</t>
  </si>
  <si>
    <t>GB_s4_03</t>
  </si>
  <si>
    <t>GB_s4_04</t>
  </si>
  <si>
    <t>GB_s4_05</t>
  </si>
  <si>
    <t>GB_s4_06</t>
  </si>
  <si>
    <t>GB_s4_07</t>
  </si>
  <si>
    <t>GB_s4_08</t>
  </si>
  <si>
    <t>GB_s4_09</t>
  </si>
  <si>
    <t>GB_s4_10</t>
  </si>
  <si>
    <t>GB_s4_11</t>
  </si>
  <si>
    <t>GB_s4_12</t>
  </si>
  <si>
    <t>GB_s4_13</t>
  </si>
  <si>
    <t>GB_s4_14</t>
  </si>
  <si>
    <t>GB_s4_15</t>
  </si>
  <si>
    <t>GB_s4_16</t>
  </si>
  <si>
    <t>GB_s4_17</t>
  </si>
  <si>
    <t>GB_s4_18</t>
  </si>
  <si>
    <t>GB_s4_19</t>
  </si>
  <si>
    <t>GB_s4_20</t>
  </si>
  <si>
    <t>GB_s4_21</t>
  </si>
  <si>
    <t>GB_s5_01</t>
  </si>
  <si>
    <t>GB_s5_02</t>
  </si>
  <si>
    <t>GB_s5_03</t>
  </si>
  <si>
    <t>GB_s5_04</t>
  </si>
  <si>
    <t>GB_s5_05</t>
  </si>
  <si>
    <t>GB_s5_06</t>
  </si>
  <si>
    <t>GB_s5_07</t>
  </si>
  <si>
    <t>GB_s5_08</t>
  </si>
  <si>
    <t>GB_s5_09</t>
  </si>
  <si>
    <t>GB_s5_10</t>
  </si>
  <si>
    <t>GB_s5_11</t>
  </si>
  <si>
    <t>GB_s5_12</t>
  </si>
  <si>
    <t>GB_s5_13</t>
  </si>
  <si>
    <t>GB_s5_14</t>
  </si>
  <si>
    <t>GB_s5_15</t>
  </si>
  <si>
    <t>GB_s5_16</t>
  </si>
  <si>
    <t>GB_s5_17</t>
  </si>
  <si>
    <t>GB_s5_18</t>
  </si>
  <si>
    <t>GB_s5_19</t>
  </si>
  <si>
    <t>GB_s5_20</t>
  </si>
  <si>
    <t>GB_s5_21</t>
  </si>
  <si>
    <t>GB_s6_01</t>
  </si>
  <si>
    <t>GB_s6_02</t>
  </si>
  <si>
    <t>GB_s6_03</t>
  </si>
  <si>
    <t>GB_s6_04</t>
  </si>
  <si>
    <t>Geschlecht</t>
  </si>
  <si>
    <t>Alter (bei Inhaftnahme)</t>
  </si>
  <si>
    <t>nachHaft</t>
  </si>
  <si>
    <t>Gericht</t>
  </si>
  <si>
    <t>Entlassung?</t>
  </si>
  <si>
    <t>Arbeitsverweigerung</t>
  </si>
  <si>
    <t>Sonstiges</t>
  </si>
  <si>
    <t>Bem</t>
  </si>
  <si>
    <t>Leclercq</t>
  </si>
  <si>
    <t>Moise Emile</t>
  </si>
  <si>
    <t>GB_s2_02+GB_s_20 von Moise Leclercq und Marie Leclerry, beide geb. 22.2.2012 in Lille=Rysel (Frkr. an der belg.. Grenze); wurden der selben Person-ID 45: Moise Emile Leclercq zugeordnet: Fehler bei Abschrift erscheint wahrscheinlicher als Zwillinge ohne weiteren Doc-Nachweis</t>
  </si>
  <si>
    <t>s. Bem</t>
  </si>
  <si>
    <t>Lille (Rysel)</t>
  </si>
  <si>
    <t>m</t>
  </si>
  <si>
    <t>m/w</t>
  </si>
  <si>
    <t>BEL</t>
  </si>
  <si>
    <t>Dauchingerstr. 21</t>
  </si>
  <si>
    <t>Eisenbau Haller</t>
  </si>
  <si>
    <t>Lauffer, Karl (Uhrenfabrik)</t>
  </si>
  <si>
    <t>(BEL)</t>
  </si>
  <si>
    <t>Ausweispapiere</t>
  </si>
  <si>
    <t>Wohnsitz unbek.</t>
  </si>
  <si>
    <t>GB</t>
  </si>
  <si>
    <t>Herdstr. 28</t>
  </si>
  <si>
    <t>ledig</t>
  </si>
  <si>
    <t>Uhrmacher</t>
  </si>
  <si>
    <t>Gr. Unfug</t>
  </si>
  <si>
    <t>Gebrauchsmittelentwendung</t>
  </si>
  <si>
    <t>Ersuchen d. AG. Rottweil</t>
  </si>
  <si>
    <t>Fluchtversuch</t>
  </si>
  <si>
    <t>Arbeitsvertragsbruch</t>
  </si>
  <si>
    <t>o.A.</t>
  </si>
  <si>
    <t>Einlieferung an AG. Rottweil</t>
  </si>
  <si>
    <t>"im Gef.Buch nicht vermerkt"</t>
  </si>
  <si>
    <t>Verdacht Diebstahl</t>
  </si>
  <si>
    <t>Diebstahl</t>
  </si>
  <si>
    <t>07.12.1893</t>
  </si>
  <si>
    <t>07.08.1893</t>
  </si>
  <si>
    <t>Unerlaubte Einreise</t>
  </si>
  <si>
    <t>Verlassen d. Arbeitsstelle</t>
  </si>
  <si>
    <t>Ungebühr</t>
  </si>
  <si>
    <t>Beihilfe zur Flucht frz. Kgf.</t>
  </si>
  <si>
    <t>Verkehr mit Kriegsgef.</t>
  </si>
  <si>
    <t>Person. Feststellung</t>
  </si>
  <si>
    <t>Massaro</t>
  </si>
  <si>
    <t>Streithändel</t>
  </si>
  <si>
    <t>"?"</t>
  </si>
  <si>
    <t>Arbeitsflucht</t>
  </si>
  <si>
    <t>Arbeitsunlust</t>
  </si>
  <si>
    <t>Sabotage</t>
  </si>
  <si>
    <t>Gestapo Oberndorf</t>
  </si>
  <si>
    <t>Verb.Umgang m. deutsch. Frauen</t>
  </si>
  <si>
    <t>Verlassen d. Aufenthaltsorts</t>
  </si>
  <si>
    <t>Vergehen geg. D. Verbrauchsregelung</t>
  </si>
  <si>
    <t>Handel mit Lebensmittel</t>
  </si>
  <si>
    <t>Arbeitssabotage</t>
  </si>
  <si>
    <t>Gestapo Stuttgart</t>
  </si>
  <si>
    <t>Aufwiegelung z. Streik</t>
  </si>
  <si>
    <t>Abtreibung</t>
  </si>
  <si>
    <t>Verabred. Gefahr</t>
  </si>
  <si>
    <t>NL</t>
  </si>
  <si>
    <t>Status?</t>
  </si>
  <si>
    <t>Kgf./ex-Kgf./DV?</t>
  </si>
  <si>
    <t>20.08.1890</t>
  </si>
  <si>
    <t>EL</t>
  </si>
  <si>
    <t>FK</t>
  </si>
  <si>
    <t>Ilowiecki</t>
  </si>
  <si>
    <t>PL</t>
  </si>
  <si>
    <t>Iwan</t>
  </si>
  <si>
    <t>Monik</t>
  </si>
  <si>
    <t>Czulak</t>
  </si>
  <si>
    <t>René</t>
  </si>
  <si>
    <t>Bayle</t>
  </si>
  <si>
    <t>Berjonneau</t>
  </si>
  <si>
    <t>Benard</t>
  </si>
  <si>
    <t>w</t>
  </si>
  <si>
    <t>Jamelin</t>
  </si>
  <si>
    <t>Mathilde</t>
  </si>
  <si>
    <t>Brülin</t>
  </si>
  <si>
    <t>Brugiotte</t>
  </si>
  <si>
    <t>Foto; T/D 856.621 (bis 2002)</t>
  </si>
  <si>
    <t>Duhamel</t>
  </si>
  <si>
    <t>Mireille Duhamel passt (Duchaud taucht sonst nirgendswo auf)</t>
  </si>
  <si>
    <t>Gomez Anicet</t>
  </si>
  <si>
    <t>Dziurdzik</t>
  </si>
  <si>
    <t>Demeulemeester</t>
  </si>
  <si>
    <t>Lea</t>
  </si>
  <si>
    <t>Faure</t>
  </si>
  <si>
    <t>Inignet</t>
  </si>
  <si>
    <t>Dachau u.a.</t>
  </si>
  <si>
    <t>EL+FK</t>
  </si>
  <si>
    <t>FK+EL</t>
  </si>
  <si>
    <t>FK (Mauthe)</t>
  </si>
  <si>
    <t>Arbeitsbuch i.O. im Stadtarchiv (s. Forschungs-Cloud, LSchm)</t>
  </si>
  <si>
    <t>Lahaye</t>
  </si>
  <si>
    <t>Jean Albert</t>
  </si>
  <si>
    <t>Lefranc</t>
  </si>
  <si>
    <t>FRA</t>
  </si>
  <si>
    <t>Lenartowicz</t>
  </si>
  <si>
    <t>Helena</t>
  </si>
  <si>
    <t>m.Foto</t>
  </si>
  <si>
    <r>
      <t>MANDRAKOR</t>
    </r>
    <r>
      <rPr>
        <sz val="12"/>
        <color rgb="FFFF0000"/>
        <rFont val="Calibri"/>
        <family val="2"/>
        <scheme val="minor"/>
      </rPr>
      <t>D</t>
    </r>
    <r>
      <rPr>
        <sz val="12"/>
        <color theme="1"/>
        <rFont val="Calibri"/>
        <family val="2"/>
        <scheme val="minor"/>
      </rPr>
      <t>A</t>
    </r>
  </si>
  <si>
    <t>Marret</t>
  </si>
  <si>
    <t>Raymonde</t>
  </si>
  <si>
    <t>Pyc</t>
  </si>
  <si>
    <t>Lucjan</t>
  </si>
  <si>
    <r>
      <t>MASAR</t>
    </r>
    <r>
      <rPr>
        <sz val="12"/>
        <color rgb="FFFF0000"/>
        <rFont val="Calibri"/>
        <family val="2"/>
        <scheme val="minor"/>
      </rPr>
      <t>O</t>
    </r>
  </si>
  <si>
    <t>Porebski</t>
  </si>
  <si>
    <t>Jozef</t>
  </si>
  <si>
    <r>
      <t>R</t>
    </r>
    <r>
      <rPr>
        <sz val="12"/>
        <color rgb="FFFF0000"/>
        <rFont val="Calibri"/>
        <family val="2"/>
        <scheme val="minor"/>
      </rPr>
      <t>A</t>
    </r>
    <r>
      <rPr>
        <sz val="12"/>
        <color theme="1"/>
        <rFont val="Calibri"/>
        <family val="2"/>
        <scheme val="minor"/>
      </rPr>
      <t>IMUND</t>
    </r>
  </si>
  <si>
    <t>Ramboure</t>
  </si>
  <si>
    <t>Roué</t>
  </si>
  <si>
    <t>Geneviève</t>
  </si>
  <si>
    <t>RENAULT</t>
  </si>
  <si>
    <t>Renault</t>
  </si>
  <si>
    <t>Sirucic</t>
  </si>
  <si>
    <t>Mohamed</t>
  </si>
  <si>
    <t>Taelemans</t>
  </si>
  <si>
    <t>Pat.akte</t>
  </si>
  <si>
    <t>Sikler</t>
  </si>
  <si>
    <t>Jacqueline</t>
  </si>
  <si>
    <t>Arbeitsbuchkopie+Foto</t>
  </si>
  <si>
    <t>Foto, ehem Kgf., Pat.Akte</t>
  </si>
  <si>
    <t>Foto</t>
  </si>
  <si>
    <t>KZ-Haft</t>
  </si>
  <si>
    <t>Kindsvater</t>
  </si>
  <si>
    <t>Foto, Gerichtsliste</t>
  </si>
  <si>
    <t>Adamczewski</t>
  </si>
  <si>
    <t>Stanisław</t>
  </si>
  <si>
    <t>Geburtsort (aktuell/korrigiert)</t>
  </si>
  <si>
    <t>Łódź</t>
  </si>
  <si>
    <t>Kraków</t>
  </si>
  <si>
    <t>Żywiec</t>
  </si>
  <si>
    <t>Aufenthalt ab</t>
  </si>
  <si>
    <t>Aufenthalt bis</t>
  </si>
  <si>
    <t>18.05.1894</t>
  </si>
  <si>
    <t>Cocu</t>
  </si>
  <si>
    <t>Leval-Trahegnies</t>
  </si>
  <si>
    <t>Salinenstr. 62</t>
  </si>
  <si>
    <t>Ziegelwerk Mühlacker</t>
  </si>
  <si>
    <t>Emile Cocu</t>
  </si>
  <si>
    <t>Celine, geb. Moll</t>
  </si>
  <si>
    <t>01.02.1886</t>
  </si>
  <si>
    <t>Gefängnis Schwenningen</t>
  </si>
  <si>
    <t>Grüner Baum</t>
  </si>
  <si>
    <t>Maria, geb. Wiewiadamska</t>
  </si>
  <si>
    <t>Josef Adamczewsky</t>
  </si>
  <si>
    <t>Maria, geb. Warych</t>
  </si>
  <si>
    <t>CZ</t>
  </si>
  <si>
    <t>Lupfenstr. 13</t>
  </si>
  <si>
    <t>Fernwellen Apparate</t>
  </si>
  <si>
    <t>Alter Angel 20</t>
  </si>
  <si>
    <t>Haftstätte1</t>
  </si>
  <si>
    <t>nach Haft in Schwenningen</t>
  </si>
  <si>
    <t>[Zwickau]</t>
  </si>
  <si>
    <t>Unterkunft (Adresse Kriegszeit)</t>
  </si>
  <si>
    <t>Müller-Schlenker</t>
  </si>
  <si>
    <t>[Pat. akte]</t>
  </si>
  <si>
    <t>IPN GK53/4 (OstAw. LG Rottweil)</t>
  </si>
  <si>
    <t>LA ROCHELLE; Paaré sur Velluire</t>
  </si>
  <si>
    <t>Le Poiré-sur-Velluire</t>
  </si>
  <si>
    <t>Trossingen Reichsbahnhof</t>
  </si>
  <si>
    <t>Mauthe</t>
  </si>
  <si>
    <t>Bürkstr. 28</t>
  </si>
  <si>
    <t>Eugen Schlenker</t>
  </si>
  <si>
    <t>Kienzle</t>
  </si>
  <si>
    <t>Neckarstr. 8 (Linde)</t>
  </si>
  <si>
    <t>(OST)</t>
  </si>
  <si>
    <t>Pestalozzistr. 35</t>
  </si>
  <si>
    <t>(PL)</t>
  </si>
  <si>
    <t>(FRA)</t>
  </si>
  <si>
    <t>Kgf.</t>
  </si>
  <si>
    <t>Neuer Angel 19</t>
  </si>
  <si>
    <t>Schuhmacher</t>
  </si>
  <si>
    <t>ESP</t>
  </si>
  <si>
    <t>Bürkstr. 52</t>
  </si>
  <si>
    <t>Engelstr. 20</t>
  </si>
  <si>
    <t>(Kroatien)</t>
  </si>
  <si>
    <t>(Ukraine)</t>
  </si>
  <si>
    <t>Frühlingshalde 85</t>
  </si>
  <si>
    <t>Reutestr. 50</t>
  </si>
  <si>
    <t>Johann Jäckle</t>
  </si>
  <si>
    <t>Reutestr. 100</t>
  </si>
  <si>
    <t>Hanhart</t>
  </si>
  <si>
    <t>Hofstattstr. 10</t>
  </si>
  <si>
    <t>Herdstr. 25</t>
  </si>
  <si>
    <t>Sturmbühlstr. 66</t>
  </si>
  <si>
    <t>Haller-Schlenker</t>
  </si>
  <si>
    <t>Scharnhorstr. 27</t>
  </si>
  <si>
    <t>KL Dachau</t>
  </si>
  <si>
    <t>Brühlbaracken</t>
  </si>
  <si>
    <t>I.G. Mehne</t>
  </si>
  <si>
    <t>Muslen 16</t>
  </si>
  <si>
    <t>Neuestr. 9</t>
  </si>
  <si>
    <t>Bürkstr. 23</t>
  </si>
  <si>
    <t>Ostarbeiterlager</t>
  </si>
  <si>
    <t>Neckarstr. 44</t>
  </si>
  <si>
    <t>Zur Lorelei</t>
  </si>
  <si>
    <t>... Ziegelwerk Mühlacker u.a.</t>
  </si>
  <si>
    <t>Bürkstr. 75</t>
  </si>
  <si>
    <t>Turnerstr. 69</t>
  </si>
  <si>
    <t>KL Flossenbürg</t>
  </si>
  <si>
    <t>Friedrich-Ernste-Benzing</t>
  </si>
  <si>
    <t>Neuestr. 28</t>
  </si>
  <si>
    <t>Maschinenfabrik Schneider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</si>
</sst>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2" borderId="0" xfId="0" applyFill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2" borderId="0" xfId="0" applyFont="1" applyFill="1"/>
    <xf numFmtId="1" fontId="0" fillId="0" borderId="0" xfId="0" applyNumberFormat="1" applyAlignment="1">
      <alignment horizontal="center"/>
    </xf>
    <xf numFmtId="1" fontId="3" fillId="0" borderId="0" xfId="0" applyNumberFormat="1" applyFont="1" applyAlignment="1">
      <alignment horizontal="center"/>
    </xf>
    <xf numFmtId="14" fontId="0" fillId="2" borderId="0" xfId="0" applyNumberFormat="1" applyFill="1"/>
    <xf numFmtId="14" fontId="0" fillId="4" borderId="0" xfId="0" applyNumberFormat="1" applyFill="1"/>
    <xf numFmtId="14" fontId="0" fillId="2" borderId="0" xfId="0" applyNumberFormat="1" applyFill="1" applyAlignment="1">
      <alignment horizontal="right"/>
    </xf>
    <xf numFmtId="0" fontId="6" fillId="3" borderId="0" xfId="0" applyFont="1" applyFill="1" applyAlignment="1">
      <alignment horizontal="center"/>
    </xf>
    <xf numFmtId="14" fontId="6" fillId="0" borderId="0" xfId="0" applyNumberFormat="1" applyFont="1"/>
    <xf numFmtId="0" fontId="6" fillId="0" borderId="0" xfId="0" applyFont="1"/>
    <xf numFmtId="0" fontId="7" fillId="0" borderId="0" xfId="0" applyFont="1"/>
    <xf numFmtId="0" fontId="0" fillId="2" borderId="0" xfId="0" applyFill="1" applyAlignment="1">
      <alignment horizontal="right"/>
    </xf>
    <xf numFmtId="14" fontId="0" fillId="0" borderId="0" xfId="0" applyNumberFormat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108"/>
  <sheetViews>
    <sheetView tabSelected="1" topLeftCell="U89" workbookViewId="0">
      <selection activeCell="R13" sqref="R13"/>
    </sheetView>
  </sheetViews>
  <sheetFormatPr baseColWidth="10" defaultRowHeight="15.6" x14ac:dyDescent="0.3"/>
  <cols>
    <col min="2" max="2" width="9.3984375" style="4" customWidth="1"/>
    <col min="3" max="3" width="10" customWidth="1"/>
    <col min="4" max="4" width="10.5" style="4" customWidth="1"/>
    <col min="5" max="5" width="8.09765625" style="4" customWidth="1"/>
    <col min="6" max="6" width="15.09765625" customWidth="1"/>
    <col min="8" max="8" width="14.796875" customWidth="1"/>
    <col min="9" max="9" width="10.19921875" customWidth="1"/>
    <col min="10" max="10" width="15.59765625" customWidth="1"/>
    <col min="11" max="11" width="9.59765625" customWidth="1"/>
    <col min="12" max="12" width="15.296875" customWidth="1"/>
    <col min="13" max="13" width="14.09765625" customWidth="1"/>
    <col min="14" max="14" width="16.09765625" customWidth="1"/>
    <col min="16" max="16" width="10.3984375" customWidth="1"/>
    <col min="17" max="17" width="9.796875" customWidth="1"/>
    <col min="18" max="18" width="10" customWidth="1"/>
    <col min="19" max="20" width="16.8984375" customWidth="1"/>
    <col min="21" max="21" width="16.8984375" style="14" customWidth="1"/>
    <col min="22" max="29" width="16.8984375" customWidth="1"/>
    <col min="32" max="32" width="23.296875" customWidth="1"/>
    <col min="33" max="33" width="24.5" customWidth="1"/>
    <col min="34" max="34" width="20.296875" customWidth="1"/>
    <col min="35" max="35" width="24" customWidth="1"/>
    <col min="36" max="36" width="23.19921875" customWidth="1"/>
    <col min="37" max="37" width="10.296875" customWidth="1"/>
    <col min="38" max="38" width="13.19921875" customWidth="1"/>
    <col min="39" max="39" width="16.5" customWidth="1"/>
    <col min="50" max="50" width="12.5" customWidth="1"/>
    <col min="52" max="52" width="25" customWidth="1"/>
    <col min="53" max="53" width="25.69921875" customWidth="1"/>
    <col min="54" max="54" width="16" customWidth="1"/>
    <col min="55" max="55" width="16.19921875" customWidth="1"/>
  </cols>
  <sheetData>
    <row r="1" spans="1:56" x14ac:dyDescent="0.3">
      <c r="A1" s="2" t="s">
        <v>244</v>
      </c>
      <c r="B1" s="5"/>
    </row>
    <row r="2" spans="1:56" x14ac:dyDescent="0.3">
      <c r="A2" s="2" t="s">
        <v>272</v>
      </c>
      <c r="B2" s="5"/>
    </row>
    <row r="3" spans="1:56" x14ac:dyDescent="0.3">
      <c r="A3" s="2" t="s">
        <v>246</v>
      </c>
      <c r="B3" s="5"/>
    </row>
    <row r="4" spans="1:56" ht="17.399999999999999" customHeight="1" x14ac:dyDescent="0.3">
      <c r="A4" s="2"/>
      <c r="B4" s="5"/>
      <c r="D4" s="4" t="s">
        <v>271</v>
      </c>
      <c r="S4" t="s">
        <v>532</v>
      </c>
      <c r="X4" t="s">
        <v>253</v>
      </c>
      <c r="AE4" t="s">
        <v>450</v>
      </c>
      <c r="AF4" t="s">
        <v>266</v>
      </c>
      <c r="AK4" t="s">
        <v>267</v>
      </c>
      <c r="AL4" t="s">
        <v>262</v>
      </c>
      <c r="AO4" t="s">
        <v>542</v>
      </c>
      <c r="AQ4" t="s">
        <v>257</v>
      </c>
      <c r="AS4" t="s">
        <v>391</v>
      </c>
      <c r="AW4" t="s">
        <v>257</v>
      </c>
      <c r="AY4" t="s">
        <v>268</v>
      </c>
      <c r="AZ4" t="s">
        <v>269</v>
      </c>
      <c r="BD4" t="s">
        <v>395</v>
      </c>
    </row>
    <row r="5" spans="1:56" x14ac:dyDescent="0.3">
      <c r="A5" s="6" t="s">
        <v>249</v>
      </c>
      <c r="B5" s="11" t="s">
        <v>277</v>
      </c>
      <c r="C5" s="6" t="s">
        <v>270</v>
      </c>
      <c r="D5" s="12" t="s">
        <v>297</v>
      </c>
      <c r="E5" s="12" t="s">
        <v>296</v>
      </c>
      <c r="F5" s="6" t="s">
        <v>0</v>
      </c>
      <c r="G5" s="6" t="s">
        <v>1</v>
      </c>
      <c r="H5" s="6" t="s">
        <v>2</v>
      </c>
      <c r="I5" s="6" t="s">
        <v>389</v>
      </c>
      <c r="J5" s="6" t="s">
        <v>247</v>
      </c>
      <c r="K5" s="6" t="s">
        <v>248</v>
      </c>
      <c r="L5" s="6" t="s">
        <v>245</v>
      </c>
      <c r="M5" t="s">
        <v>518</v>
      </c>
      <c r="N5" s="6" t="s">
        <v>3</v>
      </c>
      <c r="P5" s="6" t="s">
        <v>259</v>
      </c>
      <c r="Q5" s="6" t="s">
        <v>7</v>
      </c>
      <c r="R5" s="6" t="s">
        <v>5</v>
      </c>
      <c r="S5" s="6" t="s">
        <v>250</v>
      </c>
      <c r="T5" s="6" t="s">
        <v>251</v>
      </c>
      <c r="U5" s="15" t="s">
        <v>278</v>
      </c>
      <c r="V5" s="6" t="s">
        <v>252</v>
      </c>
      <c r="W5" s="6" t="s">
        <v>390</v>
      </c>
      <c r="X5" s="6" t="s">
        <v>522</v>
      </c>
      <c r="Y5" s="6" t="s">
        <v>523</v>
      </c>
      <c r="Z5" s="6" t="s">
        <v>544</v>
      </c>
      <c r="AA5" s="6" t="s">
        <v>254</v>
      </c>
      <c r="AB5" s="6" t="s">
        <v>255</v>
      </c>
      <c r="AC5" s="6" t="s">
        <v>256</v>
      </c>
      <c r="AD5" s="6" t="s">
        <v>280</v>
      </c>
      <c r="AE5" s="6" t="s">
        <v>451</v>
      </c>
      <c r="AF5" s="6" t="s">
        <v>8</v>
      </c>
      <c r="AG5" s="6" t="s">
        <v>9</v>
      </c>
      <c r="AH5" s="6" t="s">
        <v>10</v>
      </c>
      <c r="AI5" s="6" t="s">
        <v>11</v>
      </c>
      <c r="AJ5" s="6" t="s">
        <v>265</v>
      </c>
      <c r="AK5" s="6"/>
      <c r="AL5" s="13" t="s">
        <v>260</v>
      </c>
      <c r="AM5" s="13" t="s">
        <v>261</v>
      </c>
      <c r="AN5" s="6" t="s">
        <v>4</v>
      </c>
      <c r="AO5" s="6" t="s">
        <v>541</v>
      </c>
      <c r="AP5" s="6" t="s">
        <v>263</v>
      </c>
      <c r="AQ5" s="6" t="s">
        <v>258</v>
      </c>
      <c r="AR5" s="6" t="s">
        <v>264</v>
      </c>
      <c r="AS5" s="6" t="s">
        <v>393</v>
      </c>
      <c r="AT5" s="13" t="s">
        <v>392</v>
      </c>
      <c r="AU5" s="6" t="s">
        <v>6</v>
      </c>
      <c r="AV5" s="6" t="s">
        <v>263</v>
      </c>
      <c r="AW5" s="6" t="s">
        <v>258</v>
      </c>
      <c r="AX5" s="6" t="s">
        <v>264</v>
      </c>
      <c r="AY5" s="6"/>
      <c r="AZ5" s="6" t="s">
        <v>8</v>
      </c>
      <c r="BA5" s="6" t="s">
        <v>9</v>
      </c>
      <c r="BB5" s="6" t="s">
        <v>10</v>
      </c>
      <c r="BC5" s="6" t="s">
        <v>11</v>
      </c>
      <c r="BD5" s="6" t="s">
        <v>396</v>
      </c>
    </row>
    <row r="6" spans="1:56" x14ac:dyDescent="0.3">
      <c r="A6" s="21">
        <v>1</v>
      </c>
      <c r="B6" s="10" t="s">
        <v>454</v>
      </c>
      <c r="C6" t="s">
        <v>292</v>
      </c>
      <c r="D6" s="4">
        <v>183</v>
      </c>
      <c r="E6" s="4">
        <v>41</v>
      </c>
      <c r="F6" t="s">
        <v>12</v>
      </c>
      <c r="G6" t="s">
        <v>13</v>
      </c>
      <c r="I6" t="s">
        <v>402</v>
      </c>
      <c r="J6" t="s">
        <v>516</v>
      </c>
      <c r="K6" t="s">
        <v>517</v>
      </c>
      <c r="L6" t="s">
        <v>14</v>
      </c>
      <c r="M6" t="s">
        <v>519</v>
      </c>
      <c r="N6" s="1">
        <v>2474</v>
      </c>
      <c r="P6" s="1"/>
      <c r="Q6" s="1"/>
      <c r="R6" s="1" t="s">
        <v>456</v>
      </c>
      <c r="S6" s="1">
        <v>15138</v>
      </c>
      <c r="T6" s="1">
        <v>15139</v>
      </c>
      <c r="U6" s="14">
        <f t="shared" ref="U6:U37" si="0">DATEDIF($S6,$T6+1,"d")</f>
        <v>2</v>
      </c>
      <c r="V6" t="s">
        <v>421</v>
      </c>
      <c r="W6" s="4">
        <f t="shared" ref="W6:W37" si="1">DATEDIF($N6,$S6,"y")</f>
        <v>34</v>
      </c>
      <c r="X6" s="24">
        <v>14794</v>
      </c>
      <c r="Y6" s="24">
        <v>14967</v>
      </c>
      <c r="Z6" t="s">
        <v>533</v>
      </c>
      <c r="AB6" t="s">
        <v>299</v>
      </c>
      <c r="AK6" t="s">
        <v>534</v>
      </c>
      <c r="AL6" t="s">
        <v>535</v>
      </c>
      <c r="AM6" t="s">
        <v>536</v>
      </c>
      <c r="BD6" t="s">
        <v>507</v>
      </c>
    </row>
    <row r="7" spans="1:56" x14ac:dyDescent="0.3">
      <c r="A7" s="7">
        <v>2</v>
      </c>
      <c r="B7" s="10" t="s">
        <v>454</v>
      </c>
      <c r="C7" t="s">
        <v>347</v>
      </c>
      <c r="D7" s="4">
        <v>318</v>
      </c>
      <c r="E7" s="4">
        <v>43</v>
      </c>
      <c r="F7" t="s">
        <v>93</v>
      </c>
      <c r="G7" t="s">
        <v>94</v>
      </c>
      <c r="I7" t="s">
        <v>402</v>
      </c>
      <c r="J7" t="s">
        <v>93</v>
      </c>
      <c r="K7" t="s">
        <v>94</v>
      </c>
      <c r="L7" t="s">
        <v>95</v>
      </c>
      <c r="N7" s="1">
        <v>1716</v>
      </c>
      <c r="P7" s="1"/>
      <c r="Q7" s="1"/>
      <c r="R7" s="1" t="s">
        <v>537</v>
      </c>
      <c r="S7" s="1">
        <v>15791</v>
      </c>
      <c r="T7" s="1">
        <v>15792</v>
      </c>
      <c r="U7" s="14">
        <f t="shared" si="0"/>
        <v>2</v>
      </c>
      <c r="V7" t="s">
        <v>435</v>
      </c>
      <c r="W7" s="4">
        <f t="shared" si="1"/>
        <v>38</v>
      </c>
      <c r="X7" s="4"/>
      <c r="Y7" s="4"/>
    </row>
    <row r="8" spans="1:56" x14ac:dyDescent="0.3">
      <c r="A8" s="7">
        <v>3</v>
      </c>
      <c r="B8" s="10" t="s">
        <v>454</v>
      </c>
      <c r="C8" t="s">
        <v>355</v>
      </c>
      <c r="D8" s="4">
        <v>331</v>
      </c>
      <c r="E8" s="4">
        <v>43</v>
      </c>
      <c r="F8" t="s">
        <v>96</v>
      </c>
      <c r="G8" t="s">
        <v>97</v>
      </c>
      <c r="I8" t="s">
        <v>464</v>
      </c>
      <c r="J8" t="s">
        <v>96</v>
      </c>
      <c r="K8" t="s">
        <v>97</v>
      </c>
      <c r="L8" t="s">
        <v>75</v>
      </c>
      <c r="N8" s="1">
        <v>7923</v>
      </c>
      <c r="P8" s="1"/>
      <c r="Q8" s="1"/>
      <c r="R8" s="1" t="s">
        <v>486</v>
      </c>
      <c r="S8" s="1">
        <v>15858</v>
      </c>
      <c r="T8" s="1">
        <v>15859</v>
      </c>
      <c r="U8" s="14">
        <f t="shared" si="0"/>
        <v>2</v>
      </c>
      <c r="V8" t="s">
        <v>423</v>
      </c>
      <c r="W8" s="4">
        <f t="shared" si="1"/>
        <v>21</v>
      </c>
      <c r="X8" s="4"/>
      <c r="Y8" s="4"/>
    </row>
    <row r="9" spans="1:56" x14ac:dyDescent="0.3">
      <c r="A9" s="7">
        <v>4</v>
      </c>
      <c r="B9" s="10" t="s">
        <v>454</v>
      </c>
      <c r="C9" t="s">
        <v>384</v>
      </c>
      <c r="D9" s="4">
        <v>369</v>
      </c>
      <c r="E9" s="4">
        <v>43</v>
      </c>
      <c r="F9" t="s">
        <v>191</v>
      </c>
      <c r="G9" t="s">
        <v>192</v>
      </c>
      <c r="I9" t="s">
        <v>402</v>
      </c>
      <c r="J9" t="s">
        <v>461</v>
      </c>
      <c r="K9" t="s">
        <v>460</v>
      </c>
      <c r="L9" t="s">
        <v>193</v>
      </c>
      <c r="M9" t="s">
        <v>75</v>
      </c>
      <c r="N9" s="20">
        <v>5360</v>
      </c>
      <c r="P9" s="1"/>
      <c r="Q9" s="1"/>
      <c r="R9" s="1" t="s">
        <v>486</v>
      </c>
      <c r="S9" s="1">
        <v>15978</v>
      </c>
      <c r="T9" s="1">
        <v>15988</v>
      </c>
      <c r="U9" s="14">
        <f t="shared" si="0"/>
        <v>11</v>
      </c>
      <c r="V9" t="s">
        <v>446</v>
      </c>
      <c r="W9" s="4">
        <f t="shared" si="1"/>
        <v>29</v>
      </c>
      <c r="X9" s="24">
        <v>15869</v>
      </c>
      <c r="Y9" s="4"/>
      <c r="Z9" t="s">
        <v>538</v>
      </c>
      <c r="AB9" t="s">
        <v>539</v>
      </c>
    </row>
    <row r="10" spans="1:56" x14ac:dyDescent="0.3">
      <c r="A10" s="7">
        <v>5</v>
      </c>
      <c r="B10" s="10" t="s">
        <v>454</v>
      </c>
      <c r="C10" t="s">
        <v>287</v>
      </c>
      <c r="D10" s="4">
        <v>163</v>
      </c>
      <c r="E10" s="4">
        <v>41</v>
      </c>
      <c r="F10" t="s">
        <v>15</v>
      </c>
      <c r="G10" t="s">
        <v>16</v>
      </c>
      <c r="I10" t="s">
        <v>402</v>
      </c>
      <c r="J10" t="s">
        <v>15</v>
      </c>
      <c r="K10" t="s">
        <v>16</v>
      </c>
      <c r="L10" t="s">
        <v>17</v>
      </c>
      <c r="M10" s="3" t="s">
        <v>299</v>
      </c>
      <c r="N10" s="1">
        <v>1181</v>
      </c>
      <c r="P10" s="1"/>
      <c r="Q10" s="1"/>
      <c r="R10" s="1" t="s">
        <v>456</v>
      </c>
      <c r="S10" s="1">
        <v>15022</v>
      </c>
      <c r="T10" s="1">
        <v>15024</v>
      </c>
      <c r="U10" s="14">
        <f t="shared" si="0"/>
        <v>3</v>
      </c>
      <c r="V10" t="s">
        <v>417</v>
      </c>
      <c r="W10" s="4">
        <f t="shared" si="1"/>
        <v>37</v>
      </c>
      <c r="X10" s="24">
        <v>14796</v>
      </c>
      <c r="Y10" s="24">
        <v>15024</v>
      </c>
      <c r="Z10" t="s">
        <v>540</v>
      </c>
      <c r="AB10" t="s">
        <v>299</v>
      </c>
      <c r="AO10" t="s">
        <v>543</v>
      </c>
      <c r="BD10" t="s">
        <v>547</v>
      </c>
    </row>
    <row r="11" spans="1:56" x14ac:dyDescent="0.3">
      <c r="A11" s="7">
        <v>6</v>
      </c>
      <c r="B11" s="10" t="s">
        <v>454</v>
      </c>
      <c r="C11" t="s">
        <v>376</v>
      </c>
      <c r="D11" s="4">
        <v>358</v>
      </c>
      <c r="E11" s="4">
        <v>43</v>
      </c>
      <c r="F11" t="s">
        <v>194</v>
      </c>
      <c r="G11" t="s">
        <v>145</v>
      </c>
      <c r="I11" t="s">
        <v>402</v>
      </c>
      <c r="J11" t="s">
        <v>462</v>
      </c>
      <c r="K11" t="s">
        <v>145</v>
      </c>
      <c r="L11" t="s">
        <v>548</v>
      </c>
      <c r="M11" t="s">
        <v>549</v>
      </c>
      <c r="N11" s="1">
        <v>8420</v>
      </c>
      <c r="P11" s="1"/>
      <c r="Q11" s="1"/>
      <c r="R11" s="1" t="s">
        <v>486</v>
      </c>
      <c r="S11" s="1">
        <v>15932</v>
      </c>
      <c r="T11" s="1">
        <v>15934</v>
      </c>
      <c r="U11" s="14">
        <f t="shared" si="0"/>
        <v>3</v>
      </c>
      <c r="V11" t="s">
        <v>299</v>
      </c>
      <c r="W11" s="4">
        <f t="shared" si="1"/>
        <v>20</v>
      </c>
      <c r="X11" s="24">
        <v>15633</v>
      </c>
      <c r="Y11" s="24">
        <v>16425</v>
      </c>
      <c r="AB11" t="s">
        <v>545</v>
      </c>
      <c r="BD11" t="s">
        <v>546</v>
      </c>
    </row>
    <row r="12" spans="1:56" x14ac:dyDescent="0.3">
      <c r="A12" s="7">
        <v>7</v>
      </c>
      <c r="B12" s="10" t="s">
        <v>454</v>
      </c>
      <c r="C12" t="s">
        <v>349</v>
      </c>
      <c r="D12" s="4">
        <v>322</v>
      </c>
      <c r="E12" s="4">
        <v>43</v>
      </c>
      <c r="F12" t="s">
        <v>98</v>
      </c>
      <c r="G12" t="s">
        <v>99</v>
      </c>
      <c r="H12" t="s">
        <v>465</v>
      </c>
      <c r="I12" t="s">
        <v>464</v>
      </c>
      <c r="J12" t="s">
        <v>463</v>
      </c>
      <c r="K12" t="s">
        <v>99</v>
      </c>
      <c r="L12" t="s">
        <v>100</v>
      </c>
      <c r="N12" s="1">
        <v>6324</v>
      </c>
      <c r="P12" s="1"/>
      <c r="Q12" s="1"/>
      <c r="R12" s="1" t="s">
        <v>486</v>
      </c>
      <c r="S12" s="17">
        <v>15797</v>
      </c>
      <c r="T12" s="1">
        <v>15808</v>
      </c>
      <c r="U12" s="14">
        <f t="shared" si="0"/>
        <v>12</v>
      </c>
      <c r="V12" t="s">
        <v>436</v>
      </c>
      <c r="W12" s="4">
        <f t="shared" si="1"/>
        <v>25</v>
      </c>
      <c r="X12" s="4"/>
      <c r="Y12" s="4"/>
      <c r="Z12" t="s">
        <v>550</v>
      </c>
      <c r="AB12" t="s">
        <v>551</v>
      </c>
    </row>
    <row r="13" spans="1:56" x14ac:dyDescent="0.3">
      <c r="A13" s="7">
        <v>8</v>
      </c>
      <c r="B13" s="9"/>
      <c r="C13" t="s">
        <v>311</v>
      </c>
      <c r="D13" s="4">
        <v>242</v>
      </c>
      <c r="E13" s="4">
        <v>42</v>
      </c>
      <c r="F13" t="s">
        <v>18</v>
      </c>
      <c r="G13" t="s">
        <v>19</v>
      </c>
      <c r="I13" t="s">
        <v>402</v>
      </c>
      <c r="J13" t="s">
        <v>18</v>
      </c>
      <c r="K13" t="s">
        <v>19</v>
      </c>
      <c r="L13" t="s">
        <v>20</v>
      </c>
      <c r="N13" s="1">
        <v>5457</v>
      </c>
      <c r="P13" s="1"/>
      <c r="Q13" s="1"/>
      <c r="R13" s="16"/>
      <c r="S13" s="17">
        <v>15445</v>
      </c>
      <c r="T13" s="17">
        <v>15459</v>
      </c>
      <c r="U13" s="14">
        <f t="shared" si="0"/>
        <v>15</v>
      </c>
      <c r="V13" t="s">
        <v>427</v>
      </c>
      <c r="W13" s="4">
        <f t="shared" si="1"/>
        <v>27</v>
      </c>
      <c r="X13" s="4"/>
      <c r="Y13" s="4"/>
    </row>
    <row r="14" spans="1:56" x14ac:dyDescent="0.3">
      <c r="A14" s="7">
        <v>9</v>
      </c>
      <c r="B14" s="10" t="s">
        <v>454</v>
      </c>
      <c r="C14" t="s">
        <v>373</v>
      </c>
      <c r="D14" s="4">
        <v>355</v>
      </c>
      <c r="E14" s="4">
        <v>43</v>
      </c>
      <c r="F14" t="s">
        <v>195</v>
      </c>
      <c r="G14" t="s">
        <v>196</v>
      </c>
      <c r="I14" t="s">
        <v>464</v>
      </c>
      <c r="J14" t="s">
        <v>467</v>
      </c>
      <c r="K14" t="s">
        <v>466</v>
      </c>
      <c r="L14" t="s">
        <v>197</v>
      </c>
      <c r="N14" s="1">
        <v>5527</v>
      </c>
      <c r="P14" s="1"/>
      <c r="Q14" s="1"/>
      <c r="R14" s="1" t="s">
        <v>486</v>
      </c>
      <c r="S14" s="1">
        <v>15917</v>
      </c>
      <c r="T14" s="1">
        <v>15927</v>
      </c>
      <c r="U14" s="14">
        <f t="shared" si="0"/>
        <v>11</v>
      </c>
      <c r="V14" t="s">
        <v>424</v>
      </c>
      <c r="W14" s="4">
        <f t="shared" si="1"/>
        <v>28</v>
      </c>
      <c r="X14" s="24">
        <v>15801</v>
      </c>
      <c r="Y14" s="24">
        <v>52853</v>
      </c>
      <c r="Z14" t="s">
        <v>552</v>
      </c>
      <c r="AB14" t="s">
        <v>553</v>
      </c>
    </row>
    <row r="15" spans="1:56" x14ac:dyDescent="0.3">
      <c r="A15" s="7">
        <v>10</v>
      </c>
      <c r="B15" s="19" t="s">
        <v>479</v>
      </c>
      <c r="C15" t="s">
        <v>352</v>
      </c>
      <c r="D15" s="4">
        <v>326</v>
      </c>
      <c r="E15" s="4">
        <v>43</v>
      </c>
      <c r="F15" t="s">
        <v>101</v>
      </c>
      <c r="G15" t="s">
        <v>102</v>
      </c>
      <c r="H15" t="s">
        <v>103</v>
      </c>
      <c r="I15" t="s">
        <v>464</v>
      </c>
      <c r="J15" t="s">
        <v>101</v>
      </c>
      <c r="K15" t="s">
        <v>102</v>
      </c>
      <c r="L15" t="s">
        <v>104</v>
      </c>
      <c r="N15" s="1">
        <v>9578</v>
      </c>
      <c r="P15" s="1"/>
      <c r="Q15" s="1"/>
      <c r="R15" s="1" t="s">
        <v>556</v>
      </c>
      <c r="S15" s="1">
        <v>15825</v>
      </c>
      <c r="T15" s="1">
        <v>15840</v>
      </c>
      <c r="U15" s="14">
        <f t="shared" si="0"/>
        <v>16</v>
      </c>
      <c r="V15" t="s">
        <v>394</v>
      </c>
      <c r="W15" s="4">
        <f t="shared" si="1"/>
        <v>17</v>
      </c>
      <c r="X15" s="24">
        <v>15658</v>
      </c>
      <c r="Y15" s="24">
        <v>15825</v>
      </c>
      <c r="Z15" t="s">
        <v>555</v>
      </c>
      <c r="AB15" t="s">
        <v>554</v>
      </c>
    </row>
    <row r="16" spans="1:56" x14ac:dyDescent="0.3">
      <c r="A16" s="7">
        <v>11</v>
      </c>
      <c r="B16" s="10" t="s">
        <v>454</v>
      </c>
      <c r="C16" t="s">
        <v>345</v>
      </c>
      <c r="D16" s="4">
        <v>311</v>
      </c>
      <c r="E16" s="4">
        <v>43</v>
      </c>
      <c r="F16" t="s">
        <v>105</v>
      </c>
      <c r="G16" t="s">
        <v>106</v>
      </c>
      <c r="H16" t="s">
        <v>107</v>
      </c>
      <c r="I16" t="s">
        <v>464</v>
      </c>
      <c r="J16" t="s">
        <v>468</v>
      </c>
      <c r="K16" t="s">
        <v>106</v>
      </c>
      <c r="N16" s="1">
        <v>6890</v>
      </c>
      <c r="P16" s="1"/>
      <c r="Q16" s="1"/>
      <c r="R16" s="1" t="s">
        <v>486</v>
      </c>
      <c r="S16" s="1">
        <v>15767</v>
      </c>
      <c r="T16" s="1">
        <v>15775</v>
      </c>
      <c r="U16" s="14">
        <f t="shared" si="0"/>
        <v>9</v>
      </c>
      <c r="V16" t="s">
        <v>394</v>
      </c>
      <c r="W16" s="4">
        <f t="shared" si="1"/>
        <v>24</v>
      </c>
      <c r="X16" s="24">
        <v>15647</v>
      </c>
      <c r="Y16" s="24">
        <v>15775</v>
      </c>
      <c r="Z16" t="s">
        <v>557</v>
      </c>
    </row>
    <row r="17" spans="1:56" x14ac:dyDescent="0.3">
      <c r="A17" s="7">
        <v>12</v>
      </c>
      <c r="B17" s="10" t="s">
        <v>454</v>
      </c>
      <c r="C17" t="s">
        <v>318</v>
      </c>
      <c r="D17" s="4">
        <v>261</v>
      </c>
      <c r="E17" s="4">
        <v>42</v>
      </c>
      <c r="F17" t="s">
        <v>21</v>
      </c>
      <c r="G17" t="s">
        <v>16</v>
      </c>
      <c r="I17" t="s">
        <v>402</v>
      </c>
      <c r="J17" t="s">
        <v>21</v>
      </c>
      <c r="K17" t="s">
        <v>16</v>
      </c>
      <c r="L17" t="s">
        <v>22</v>
      </c>
      <c r="N17" s="1">
        <v>9129</v>
      </c>
      <c r="P17" s="1"/>
      <c r="Q17" s="1"/>
      <c r="R17" s="1" t="s">
        <v>456</v>
      </c>
      <c r="S17" s="17">
        <v>15572</v>
      </c>
      <c r="T17" s="17">
        <v>15595</v>
      </c>
      <c r="U17" s="14">
        <f t="shared" si="0"/>
        <v>24</v>
      </c>
      <c r="V17" t="s">
        <v>424</v>
      </c>
      <c r="W17" s="4">
        <f t="shared" si="1"/>
        <v>17</v>
      </c>
      <c r="X17" s="4"/>
      <c r="Y17" s="4"/>
      <c r="BD17" t="s">
        <v>469</v>
      </c>
    </row>
    <row r="18" spans="1:56" x14ac:dyDescent="0.3">
      <c r="A18" s="7">
        <v>13</v>
      </c>
      <c r="B18" s="19" t="s">
        <v>453</v>
      </c>
      <c r="C18" t="s">
        <v>285</v>
      </c>
      <c r="D18" s="4">
        <v>151</v>
      </c>
      <c r="E18" s="4">
        <v>40</v>
      </c>
      <c r="F18" t="s">
        <v>23</v>
      </c>
      <c r="G18" t="s">
        <v>24</v>
      </c>
      <c r="I18" t="s">
        <v>402</v>
      </c>
      <c r="J18" t="s">
        <v>23</v>
      </c>
      <c r="K18" t="s">
        <v>24</v>
      </c>
      <c r="L18" t="s">
        <v>25</v>
      </c>
      <c r="N18" s="1">
        <v>7078</v>
      </c>
      <c r="P18" s="1"/>
      <c r="Q18" s="1"/>
      <c r="R18" s="1" t="s">
        <v>558</v>
      </c>
      <c r="S18" s="1">
        <v>14953</v>
      </c>
      <c r="T18" s="1">
        <v>14955</v>
      </c>
      <c r="U18" s="14">
        <f t="shared" si="0"/>
        <v>3</v>
      </c>
      <c r="V18" t="s">
        <v>415</v>
      </c>
      <c r="W18" s="4">
        <f t="shared" si="1"/>
        <v>21</v>
      </c>
      <c r="X18" s="4"/>
      <c r="Y18" s="4"/>
    </row>
    <row r="19" spans="1:56" x14ac:dyDescent="0.3">
      <c r="A19" s="21">
        <v>14</v>
      </c>
      <c r="B19" s="19" t="s">
        <v>453</v>
      </c>
      <c r="C19" t="s">
        <v>379</v>
      </c>
      <c r="D19" s="4">
        <v>361</v>
      </c>
      <c r="E19" s="4">
        <v>43</v>
      </c>
      <c r="F19" t="s">
        <v>198</v>
      </c>
      <c r="G19" t="s">
        <v>199</v>
      </c>
      <c r="I19" t="s">
        <v>402</v>
      </c>
      <c r="J19" t="s">
        <v>525</v>
      </c>
      <c r="K19" t="s">
        <v>199</v>
      </c>
      <c r="L19" t="s">
        <v>200</v>
      </c>
      <c r="M19" t="s">
        <v>526</v>
      </c>
      <c r="N19" s="18" t="s">
        <v>524</v>
      </c>
      <c r="R19" s="1" t="s">
        <v>486</v>
      </c>
      <c r="S19" s="1">
        <v>15939</v>
      </c>
      <c r="T19" s="1">
        <v>15941</v>
      </c>
      <c r="U19" s="14">
        <f t="shared" si="0"/>
        <v>3</v>
      </c>
      <c r="V19" t="s">
        <v>394</v>
      </c>
      <c r="W19" s="4" t="e">
        <f>DATEDIF($N19,$S19,"y")</f>
        <v>#VALUE!</v>
      </c>
      <c r="X19" s="24">
        <v>15769</v>
      </c>
      <c r="Y19" s="4" t="s">
        <v>299</v>
      </c>
      <c r="Z19" t="s">
        <v>527</v>
      </c>
      <c r="AB19" t="s">
        <v>528</v>
      </c>
      <c r="AL19" t="s">
        <v>529</v>
      </c>
      <c r="AM19" t="s">
        <v>530</v>
      </c>
    </row>
    <row r="20" spans="1:56" x14ac:dyDescent="0.3">
      <c r="A20" s="7">
        <v>15</v>
      </c>
      <c r="B20" s="10" t="s">
        <v>454</v>
      </c>
      <c r="C20" t="s">
        <v>359</v>
      </c>
      <c r="D20" s="4">
        <v>338</v>
      </c>
      <c r="E20" s="4">
        <v>43</v>
      </c>
      <c r="F20" t="s">
        <v>108</v>
      </c>
      <c r="G20" t="s">
        <v>109</v>
      </c>
      <c r="I20" t="s">
        <v>402</v>
      </c>
      <c r="J20" s="3" t="s">
        <v>472</v>
      </c>
      <c r="K20" t="s">
        <v>156</v>
      </c>
      <c r="L20" t="s">
        <v>110</v>
      </c>
      <c r="N20" s="1">
        <v>6282</v>
      </c>
      <c r="P20" s="1"/>
      <c r="Q20" s="1"/>
      <c r="R20" s="1" t="s">
        <v>559</v>
      </c>
      <c r="S20" s="1">
        <v>15881</v>
      </c>
      <c r="T20" s="1">
        <v>15889</v>
      </c>
      <c r="U20" s="14">
        <f t="shared" si="0"/>
        <v>9</v>
      </c>
      <c r="V20" t="s">
        <v>299</v>
      </c>
      <c r="W20" s="4">
        <f t="shared" si="1"/>
        <v>26</v>
      </c>
      <c r="X20" s="4"/>
      <c r="Y20" s="4"/>
    </row>
    <row r="21" spans="1:56" x14ac:dyDescent="0.3">
      <c r="A21" s="7">
        <v>16</v>
      </c>
      <c r="B21" s="10" t="s">
        <v>454</v>
      </c>
      <c r="C21" t="s">
        <v>366</v>
      </c>
      <c r="D21" s="4">
        <v>347</v>
      </c>
      <c r="E21" s="4">
        <v>43</v>
      </c>
      <c r="F21" t="s">
        <v>201</v>
      </c>
      <c r="G21" t="s">
        <v>58</v>
      </c>
      <c r="I21" t="s">
        <v>402</v>
      </c>
      <c r="J21" t="s">
        <v>473</v>
      </c>
      <c r="K21" t="s">
        <v>58</v>
      </c>
      <c r="N21" s="1">
        <v>7819</v>
      </c>
      <c r="P21" s="1"/>
      <c r="Q21" s="1"/>
      <c r="R21" s="1" t="s">
        <v>456</v>
      </c>
      <c r="S21" s="17">
        <v>15904</v>
      </c>
      <c r="T21" s="17">
        <v>15928</v>
      </c>
      <c r="U21" s="14">
        <f t="shared" si="0"/>
        <v>25</v>
      </c>
      <c r="V21" t="s">
        <v>442</v>
      </c>
      <c r="W21" s="4">
        <f t="shared" si="1"/>
        <v>22</v>
      </c>
      <c r="X21" s="4"/>
      <c r="Y21" s="4"/>
    </row>
    <row r="22" spans="1:56" x14ac:dyDescent="0.3">
      <c r="A22" s="7">
        <v>17</v>
      </c>
      <c r="B22" s="10" t="s">
        <v>454</v>
      </c>
      <c r="C22" t="s">
        <v>339</v>
      </c>
      <c r="D22" s="4">
        <v>305</v>
      </c>
      <c r="E22" s="4">
        <v>43</v>
      </c>
      <c r="F22" t="s">
        <v>111</v>
      </c>
      <c r="G22" t="s">
        <v>112</v>
      </c>
      <c r="I22" t="s">
        <v>402</v>
      </c>
      <c r="J22" t="s">
        <v>474</v>
      </c>
      <c r="K22" t="s">
        <v>475</v>
      </c>
      <c r="L22" t="s">
        <v>113</v>
      </c>
      <c r="N22" s="1">
        <v>4689</v>
      </c>
      <c r="P22" s="1"/>
      <c r="Q22" s="1"/>
      <c r="R22" s="1" t="s">
        <v>404</v>
      </c>
      <c r="S22" s="1">
        <v>15753</v>
      </c>
      <c r="T22" s="1">
        <v>15773</v>
      </c>
      <c r="U22" s="14">
        <f t="shared" si="0"/>
        <v>21</v>
      </c>
      <c r="V22" t="s">
        <v>424</v>
      </c>
      <c r="W22" s="4">
        <f t="shared" si="1"/>
        <v>30</v>
      </c>
      <c r="X22" s="4"/>
      <c r="Y22" s="4"/>
    </row>
    <row r="23" spans="1:56" x14ac:dyDescent="0.3">
      <c r="A23" s="7">
        <v>18</v>
      </c>
      <c r="B23" s="10" t="s">
        <v>454</v>
      </c>
      <c r="C23" t="s">
        <v>340</v>
      </c>
      <c r="D23" s="4">
        <v>306</v>
      </c>
      <c r="E23" s="4">
        <v>43</v>
      </c>
      <c r="F23" t="s">
        <v>114</v>
      </c>
      <c r="G23" t="s">
        <v>115</v>
      </c>
      <c r="I23" t="s">
        <v>402</v>
      </c>
      <c r="J23" t="s">
        <v>114</v>
      </c>
      <c r="K23" t="s">
        <v>115</v>
      </c>
      <c r="N23" s="1">
        <v>4434</v>
      </c>
      <c r="P23" s="1"/>
      <c r="Q23" s="1"/>
      <c r="R23" s="1" t="s">
        <v>404</v>
      </c>
      <c r="S23" s="1">
        <v>15753</v>
      </c>
      <c r="T23" s="1">
        <v>15755</v>
      </c>
      <c r="U23" s="14">
        <f t="shared" si="0"/>
        <v>3</v>
      </c>
      <c r="V23" t="s">
        <v>424</v>
      </c>
      <c r="W23" s="4">
        <f t="shared" si="1"/>
        <v>30</v>
      </c>
      <c r="X23" s="4"/>
      <c r="Y23" s="4"/>
    </row>
    <row r="24" spans="1:56" x14ac:dyDescent="0.3">
      <c r="A24" s="7">
        <v>19</v>
      </c>
      <c r="B24" s="10" t="s">
        <v>453</v>
      </c>
      <c r="C24" t="s">
        <v>288</v>
      </c>
      <c r="D24" s="4">
        <v>169</v>
      </c>
      <c r="E24" s="4">
        <v>41</v>
      </c>
      <c r="F24" t="s">
        <v>26</v>
      </c>
      <c r="G24" t="s">
        <v>27</v>
      </c>
      <c r="I24" t="s">
        <v>402</v>
      </c>
      <c r="J24" t="s">
        <v>26</v>
      </c>
      <c r="K24" t="s">
        <v>27</v>
      </c>
      <c r="N24" s="1">
        <v>1801</v>
      </c>
      <c r="P24" s="1"/>
      <c r="Q24" s="1"/>
      <c r="R24" s="1" t="s">
        <v>486</v>
      </c>
      <c r="S24" s="1">
        <v>15044</v>
      </c>
      <c r="T24" s="1">
        <v>15048</v>
      </c>
      <c r="U24" s="14">
        <f t="shared" si="0"/>
        <v>5</v>
      </c>
      <c r="V24" t="s">
        <v>418</v>
      </c>
      <c r="W24" s="4">
        <f t="shared" si="1"/>
        <v>36</v>
      </c>
      <c r="X24" s="4"/>
      <c r="Y24" s="4"/>
      <c r="AE24" t="s">
        <v>560</v>
      </c>
    </row>
    <row r="25" spans="1:56" x14ac:dyDescent="0.3">
      <c r="A25" s="7">
        <v>20</v>
      </c>
      <c r="B25" s="10" t="s">
        <v>454</v>
      </c>
      <c r="C25" t="s">
        <v>385</v>
      </c>
      <c r="D25" s="4">
        <v>370</v>
      </c>
      <c r="E25" s="4">
        <v>43</v>
      </c>
      <c r="F25" t="s">
        <v>202</v>
      </c>
      <c r="G25" t="s">
        <v>203</v>
      </c>
      <c r="I25" t="s">
        <v>464</v>
      </c>
      <c r="J25" s="3" t="s">
        <v>470</v>
      </c>
      <c r="K25" t="s">
        <v>203</v>
      </c>
      <c r="L25" t="s">
        <v>100</v>
      </c>
      <c r="N25" s="1">
        <v>8544</v>
      </c>
      <c r="P25" s="1"/>
      <c r="Q25" s="1"/>
      <c r="R25" s="1" t="s">
        <v>486</v>
      </c>
      <c r="S25" s="1">
        <v>15979</v>
      </c>
      <c r="T25" s="1">
        <v>15981</v>
      </c>
      <c r="U25" s="14">
        <f t="shared" si="0"/>
        <v>3</v>
      </c>
      <c r="V25" t="s">
        <v>447</v>
      </c>
      <c r="W25" s="4">
        <f t="shared" si="1"/>
        <v>20</v>
      </c>
      <c r="X25" s="4"/>
      <c r="Y25" s="4"/>
      <c r="BD25" t="s">
        <v>471</v>
      </c>
    </row>
    <row r="26" spans="1:56" x14ac:dyDescent="0.3">
      <c r="A26" s="7">
        <v>21</v>
      </c>
      <c r="B26" s="10" t="s">
        <v>454</v>
      </c>
      <c r="C26" t="s">
        <v>312</v>
      </c>
      <c r="D26" s="4">
        <v>244</v>
      </c>
      <c r="E26" s="4">
        <v>42</v>
      </c>
      <c r="F26" t="s">
        <v>28</v>
      </c>
      <c r="G26" t="s">
        <v>29</v>
      </c>
      <c r="I26" t="s">
        <v>402</v>
      </c>
      <c r="J26" t="s">
        <v>28</v>
      </c>
      <c r="K26" t="s">
        <v>29</v>
      </c>
      <c r="L26" t="s">
        <v>30</v>
      </c>
      <c r="M26" s="22" t="s">
        <v>521</v>
      </c>
      <c r="N26" s="1">
        <v>2871</v>
      </c>
      <c r="P26" s="1"/>
      <c r="Q26" s="1"/>
      <c r="R26" s="1" t="s">
        <v>456</v>
      </c>
      <c r="S26" s="1">
        <v>15472</v>
      </c>
      <c r="T26" s="1">
        <v>15472</v>
      </c>
      <c r="U26" s="14">
        <f t="shared" si="0"/>
        <v>1</v>
      </c>
      <c r="V26" t="s">
        <v>427</v>
      </c>
      <c r="W26" s="4">
        <f t="shared" si="1"/>
        <v>34</v>
      </c>
      <c r="X26" s="4"/>
      <c r="Y26" s="4"/>
      <c r="BD26" t="s">
        <v>510</v>
      </c>
    </row>
    <row r="27" spans="1:56" x14ac:dyDescent="0.3">
      <c r="A27" s="7">
        <v>21</v>
      </c>
      <c r="B27" s="10" t="s">
        <v>454</v>
      </c>
      <c r="C27" t="s">
        <v>320</v>
      </c>
      <c r="D27" s="4">
        <v>263</v>
      </c>
      <c r="E27" s="4">
        <v>42</v>
      </c>
      <c r="F27" t="s">
        <v>28</v>
      </c>
      <c r="G27" t="s">
        <v>29</v>
      </c>
      <c r="I27" t="s">
        <v>402</v>
      </c>
      <c r="J27" t="s">
        <v>28</v>
      </c>
      <c r="K27" t="s">
        <v>29</v>
      </c>
      <c r="L27" t="s">
        <v>31</v>
      </c>
      <c r="N27" s="1">
        <v>2871</v>
      </c>
      <c r="P27" s="1"/>
      <c r="Q27" s="1"/>
      <c r="R27" s="1" t="s">
        <v>456</v>
      </c>
      <c r="S27" s="17">
        <v>15572</v>
      </c>
      <c r="T27" s="17">
        <v>15595</v>
      </c>
      <c r="U27" s="14">
        <f t="shared" si="0"/>
        <v>24</v>
      </c>
      <c r="V27" t="s">
        <v>424</v>
      </c>
      <c r="W27" s="4">
        <f t="shared" si="1"/>
        <v>34</v>
      </c>
      <c r="X27" s="4"/>
      <c r="Y27" s="4"/>
      <c r="BD27" t="s">
        <v>510</v>
      </c>
    </row>
    <row r="28" spans="1:56" x14ac:dyDescent="0.3">
      <c r="A28" s="7">
        <v>22</v>
      </c>
      <c r="B28" s="10" t="s">
        <v>454</v>
      </c>
      <c r="C28" t="s">
        <v>322</v>
      </c>
      <c r="D28" s="4">
        <v>272</v>
      </c>
      <c r="E28" s="4">
        <v>42</v>
      </c>
      <c r="F28" t="s">
        <v>116</v>
      </c>
      <c r="G28" t="s">
        <v>117</v>
      </c>
      <c r="I28" t="s">
        <v>464</v>
      </c>
      <c r="J28" t="s">
        <v>476</v>
      </c>
      <c r="K28" t="s">
        <v>117</v>
      </c>
      <c r="L28" t="s">
        <v>118</v>
      </c>
      <c r="N28" s="1">
        <v>7640</v>
      </c>
      <c r="P28" s="1"/>
      <c r="Q28" s="1"/>
      <c r="R28" s="1" t="s">
        <v>486</v>
      </c>
      <c r="S28" s="1">
        <v>15608</v>
      </c>
      <c r="T28" s="1">
        <v>15613</v>
      </c>
      <c r="U28" s="14">
        <f t="shared" si="0"/>
        <v>6</v>
      </c>
      <c r="V28" t="s">
        <v>424</v>
      </c>
      <c r="W28" s="4">
        <f t="shared" si="1"/>
        <v>21</v>
      </c>
      <c r="X28" s="4"/>
      <c r="Y28" s="4"/>
      <c r="Z28" t="s">
        <v>561</v>
      </c>
    </row>
    <row r="29" spans="1:56" x14ac:dyDescent="0.3">
      <c r="A29" s="7">
        <v>23</v>
      </c>
      <c r="B29" s="9"/>
      <c r="C29" t="s">
        <v>383</v>
      </c>
      <c r="D29" s="4">
        <v>368</v>
      </c>
      <c r="E29" s="4">
        <v>43</v>
      </c>
      <c r="F29" t="s">
        <v>204</v>
      </c>
      <c r="G29" t="s">
        <v>205</v>
      </c>
      <c r="I29" s="3" t="s">
        <v>464</v>
      </c>
      <c r="J29" t="s">
        <v>204</v>
      </c>
      <c r="K29" t="s">
        <v>205</v>
      </c>
      <c r="L29" t="s">
        <v>193</v>
      </c>
      <c r="N29" s="23" t="s">
        <v>531</v>
      </c>
      <c r="R29" s="1" t="s">
        <v>559</v>
      </c>
      <c r="S29" s="1">
        <v>15977</v>
      </c>
      <c r="T29" s="1">
        <v>15978</v>
      </c>
      <c r="U29" s="14">
        <f t="shared" si="0"/>
        <v>2</v>
      </c>
      <c r="V29" t="s">
        <v>424</v>
      </c>
      <c r="W29" s="4" t="e">
        <f t="shared" si="1"/>
        <v>#VALUE!</v>
      </c>
      <c r="X29" s="4"/>
      <c r="Y29" s="4"/>
    </row>
    <row r="30" spans="1:56" x14ac:dyDescent="0.3">
      <c r="A30" s="7">
        <v>24</v>
      </c>
      <c r="B30" s="10" t="s">
        <v>454</v>
      </c>
      <c r="C30" t="s">
        <v>381</v>
      </c>
      <c r="D30" s="4">
        <v>366</v>
      </c>
      <c r="E30" s="4">
        <v>43</v>
      </c>
      <c r="F30" t="s">
        <v>206</v>
      </c>
      <c r="G30" t="s">
        <v>207</v>
      </c>
      <c r="I30" t="s">
        <v>402</v>
      </c>
      <c r="J30" t="s">
        <v>206</v>
      </c>
      <c r="K30" t="s">
        <v>207</v>
      </c>
      <c r="L30" t="s">
        <v>208</v>
      </c>
      <c r="N30" s="1">
        <v>8634</v>
      </c>
      <c r="P30" s="1"/>
      <c r="Q30" s="1"/>
      <c r="R30" s="1" t="s">
        <v>404</v>
      </c>
      <c r="S30" s="1">
        <v>15965</v>
      </c>
      <c r="T30" s="1">
        <v>15973</v>
      </c>
      <c r="U30" s="14">
        <f t="shared" si="0"/>
        <v>9</v>
      </c>
      <c r="V30" t="s">
        <v>424</v>
      </c>
      <c r="W30" s="4">
        <f t="shared" si="1"/>
        <v>20</v>
      </c>
      <c r="X30" s="4"/>
      <c r="Y30" s="4"/>
    </row>
    <row r="31" spans="1:56" x14ac:dyDescent="0.3">
      <c r="A31" s="7">
        <v>25</v>
      </c>
      <c r="B31" s="19" t="s">
        <v>453</v>
      </c>
      <c r="C31" t="s">
        <v>358</v>
      </c>
      <c r="D31" s="4">
        <v>336</v>
      </c>
      <c r="E31" s="4">
        <v>43</v>
      </c>
      <c r="F31" t="s">
        <v>119</v>
      </c>
      <c r="G31" t="s">
        <v>120</v>
      </c>
      <c r="I31" t="s">
        <v>402</v>
      </c>
      <c r="J31" t="s">
        <v>119</v>
      </c>
      <c r="K31" t="s">
        <v>120</v>
      </c>
      <c r="N31" s="1">
        <v>8922</v>
      </c>
      <c r="P31" s="1"/>
      <c r="Q31" s="1"/>
      <c r="R31" s="1" t="s">
        <v>563</v>
      </c>
      <c r="S31" s="1">
        <v>15869</v>
      </c>
      <c r="T31" s="1">
        <v>15872</v>
      </c>
      <c r="U31" s="14">
        <f t="shared" si="0"/>
        <v>4</v>
      </c>
      <c r="V31" t="s">
        <v>394</v>
      </c>
      <c r="W31" s="4">
        <f t="shared" si="1"/>
        <v>19</v>
      </c>
      <c r="X31" s="4"/>
      <c r="Y31" s="4"/>
      <c r="AD31" t="s">
        <v>562</v>
      </c>
    </row>
    <row r="32" spans="1:56" x14ac:dyDescent="0.3">
      <c r="A32" s="7">
        <v>25</v>
      </c>
      <c r="B32" s="19" t="s">
        <v>453</v>
      </c>
      <c r="C32" t="s">
        <v>371</v>
      </c>
      <c r="D32" s="4">
        <v>353</v>
      </c>
      <c r="E32" s="4">
        <v>43</v>
      </c>
      <c r="F32" t="s">
        <v>119</v>
      </c>
      <c r="G32" t="s">
        <v>209</v>
      </c>
      <c r="I32" t="s">
        <v>402</v>
      </c>
      <c r="J32" t="s">
        <v>119</v>
      </c>
      <c r="K32" t="s">
        <v>209</v>
      </c>
      <c r="L32" t="s">
        <v>75</v>
      </c>
      <c r="N32" s="1">
        <v>9287</v>
      </c>
      <c r="P32" s="1"/>
      <c r="Q32" s="1"/>
      <c r="R32" s="1" t="s">
        <v>563</v>
      </c>
      <c r="S32" s="1">
        <v>15917</v>
      </c>
      <c r="T32" s="1">
        <v>15927</v>
      </c>
      <c r="U32" s="14">
        <f t="shared" si="0"/>
        <v>11</v>
      </c>
      <c r="V32" t="s">
        <v>443</v>
      </c>
      <c r="W32" s="4">
        <f t="shared" si="1"/>
        <v>18</v>
      </c>
      <c r="X32" s="4"/>
      <c r="Y32" s="4"/>
    </row>
    <row r="33" spans="1:56" x14ac:dyDescent="0.3">
      <c r="A33" s="7">
        <v>26</v>
      </c>
      <c r="B33" s="9"/>
      <c r="C33" t="s">
        <v>329</v>
      </c>
      <c r="D33" s="4">
        <v>285</v>
      </c>
      <c r="E33" s="4">
        <v>42</v>
      </c>
      <c r="F33" t="s">
        <v>121</v>
      </c>
      <c r="G33" t="s">
        <v>122</v>
      </c>
      <c r="I33" t="s">
        <v>402</v>
      </c>
      <c r="J33" t="s">
        <v>121</v>
      </c>
      <c r="K33" t="s">
        <v>122</v>
      </c>
      <c r="L33" t="s">
        <v>123</v>
      </c>
      <c r="N33" s="1">
        <v>939</v>
      </c>
      <c r="P33" s="1"/>
      <c r="Q33" s="1"/>
      <c r="R33" s="1" t="s">
        <v>559</v>
      </c>
      <c r="S33" s="1">
        <v>15685</v>
      </c>
      <c r="T33" s="1">
        <v>15711</v>
      </c>
      <c r="U33" s="14">
        <f t="shared" si="0"/>
        <v>27</v>
      </c>
      <c r="V33" s="7" t="s">
        <v>430</v>
      </c>
      <c r="W33" s="4">
        <f t="shared" si="1"/>
        <v>40</v>
      </c>
      <c r="X33" s="4"/>
      <c r="Y33" s="4"/>
    </row>
    <row r="34" spans="1:56" x14ac:dyDescent="0.3">
      <c r="A34" s="7">
        <v>27</v>
      </c>
      <c r="B34" s="10" t="s">
        <v>454</v>
      </c>
      <c r="C34" t="s">
        <v>363</v>
      </c>
      <c r="D34" s="4" t="s">
        <v>299</v>
      </c>
      <c r="E34" s="4">
        <v>43</v>
      </c>
      <c r="F34" t="s">
        <v>124</v>
      </c>
      <c r="G34" t="s">
        <v>125</v>
      </c>
      <c r="I34" t="s">
        <v>402</v>
      </c>
      <c r="J34" t="s">
        <v>124</v>
      </c>
      <c r="K34" t="s">
        <v>125</v>
      </c>
      <c r="L34" t="s">
        <v>126</v>
      </c>
      <c r="N34" s="1">
        <v>8778</v>
      </c>
      <c r="P34" s="1"/>
      <c r="Q34" s="1"/>
      <c r="R34" s="1" t="s">
        <v>486</v>
      </c>
      <c r="S34" s="1">
        <v>15892</v>
      </c>
      <c r="T34" s="1">
        <v>15893</v>
      </c>
      <c r="U34" s="14">
        <f t="shared" si="0"/>
        <v>2</v>
      </c>
      <c r="V34" t="s">
        <v>423</v>
      </c>
      <c r="W34" s="4">
        <f t="shared" si="1"/>
        <v>19</v>
      </c>
      <c r="X34" s="4"/>
      <c r="Y34" s="4"/>
    </row>
    <row r="35" spans="1:56" x14ac:dyDescent="0.3">
      <c r="A35" s="7">
        <v>28</v>
      </c>
      <c r="B35" s="10" t="s">
        <v>454</v>
      </c>
      <c r="C35" t="s">
        <v>348</v>
      </c>
      <c r="D35" s="4">
        <v>319</v>
      </c>
      <c r="E35" s="4">
        <v>43</v>
      </c>
      <c r="F35" t="s">
        <v>127</v>
      </c>
      <c r="G35" t="s">
        <v>102</v>
      </c>
      <c r="I35" t="s">
        <v>464</v>
      </c>
      <c r="J35" t="s">
        <v>127</v>
      </c>
      <c r="K35" t="s">
        <v>102</v>
      </c>
      <c r="L35" t="s">
        <v>128</v>
      </c>
      <c r="N35" s="1">
        <v>8551</v>
      </c>
      <c r="P35" s="1"/>
      <c r="Q35" s="1"/>
      <c r="R35" s="1" t="s">
        <v>404</v>
      </c>
      <c r="S35" s="1">
        <v>15770</v>
      </c>
      <c r="T35" s="1">
        <v>15773</v>
      </c>
      <c r="U35" s="14">
        <f t="shared" si="0"/>
        <v>4</v>
      </c>
      <c r="V35" t="s">
        <v>423</v>
      </c>
      <c r="W35" s="4">
        <f t="shared" si="1"/>
        <v>19</v>
      </c>
      <c r="X35" s="4"/>
      <c r="Y35" s="4"/>
      <c r="Z35" t="s">
        <v>564</v>
      </c>
      <c r="AB35" t="s">
        <v>551</v>
      </c>
    </row>
    <row r="36" spans="1:56" x14ac:dyDescent="0.3">
      <c r="A36" s="7">
        <v>29</v>
      </c>
      <c r="B36" s="10" t="s">
        <v>454</v>
      </c>
      <c r="C36" t="s">
        <v>334</v>
      </c>
      <c r="D36" s="4">
        <v>294</v>
      </c>
      <c r="E36" s="4">
        <v>43</v>
      </c>
      <c r="F36" t="s">
        <v>129</v>
      </c>
      <c r="G36" t="s">
        <v>130</v>
      </c>
      <c r="I36" t="s">
        <v>402</v>
      </c>
      <c r="J36" t="s">
        <v>129</v>
      </c>
      <c r="K36" t="s">
        <v>130</v>
      </c>
      <c r="L36" t="s">
        <v>131</v>
      </c>
      <c r="N36" s="1">
        <v>8739</v>
      </c>
      <c r="P36" s="1"/>
      <c r="Q36" s="1"/>
      <c r="R36" s="1" t="s">
        <v>486</v>
      </c>
      <c r="S36" s="1">
        <v>15712</v>
      </c>
      <c r="T36" s="1">
        <v>15713</v>
      </c>
      <c r="U36" s="14">
        <f t="shared" si="0"/>
        <v>2</v>
      </c>
      <c r="V36" t="s">
        <v>424</v>
      </c>
      <c r="W36" s="4">
        <f t="shared" si="1"/>
        <v>19</v>
      </c>
      <c r="X36" s="4"/>
      <c r="Y36" s="4"/>
      <c r="Z36" t="s">
        <v>565</v>
      </c>
      <c r="AB36" t="s">
        <v>545</v>
      </c>
    </row>
    <row r="37" spans="1:56" x14ac:dyDescent="0.3">
      <c r="A37" s="7">
        <v>30</v>
      </c>
      <c r="B37" s="10" t="s">
        <v>454</v>
      </c>
      <c r="C37" t="s">
        <v>284</v>
      </c>
      <c r="D37" s="4">
        <v>146</v>
      </c>
      <c r="E37" s="4">
        <v>40</v>
      </c>
      <c r="F37" t="s">
        <v>32</v>
      </c>
      <c r="G37" t="s">
        <v>33</v>
      </c>
      <c r="I37" t="s">
        <v>402</v>
      </c>
      <c r="J37" t="s">
        <v>455</v>
      </c>
      <c r="K37" t="s">
        <v>33</v>
      </c>
      <c r="L37" t="s">
        <v>34</v>
      </c>
      <c r="N37" s="1">
        <v>8941</v>
      </c>
      <c r="P37" s="1"/>
      <c r="Q37" s="1"/>
      <c r="R37" s="1" t="s">
        <v>456</v>
      </c>
      <c r="S37" s="1">
        <v>14912</v>
      </c>
      <c r="T37" s="1">
        <v>14915</v>
      </c>
      <c r="U37" s="14">
        <f t="shared" si="0"/>
        <v>4</v>
      </c>
      <c r="V37" t="s">
        <v>394</v>
      </c>
      <c r="W37" s="4">
        <f t="shared" si="1"/>
        <v>16</v>
      </c>
      <c r="X37" s="4"/>
      <c r="Y37" s="4"/>
    </row>
    <row r="38" spans="1:56" x14ac:dyDescent="0.3">
      <c r="A38" s="7">
        <v>31</v>
      </c>
      <c r="B38" s="10" t="s">
        <v>454</v>
      </c>
      <c r="C38" t="s">
        <v>289</v>
      </c>
      <c r="D38" s="4" t="s">
        <v>300</v>
      </c>
      <c r="E38" s="4">
        <v>41</v>
      </c>
      <c r="F38" t="s">
        <v>35</v>
      </c>
      <c r="G38" t="s">
        <v>36</v>
      </c>
      <c r="I38" t="s">
        <v>402</v>
      </c>
      <c r="J38" t="s">
        <v>35</v>
      </c>
      <c r="K38" t="s">
        <v>36</v>
      </c>
      <c r="L38" t="s">
        <v>37</v>
      </c>
      <c r="N38" s="1">
        <v>3001</v>
      </c>
      <c r="P38" s="1"/>
      <c r="Q38" s="1"/>
      <c r="R38" s="1" t="s">
        <v>456</v>
      </c>
      <c r="S38" s="17">
        <v>15068</v>
      </c>
      <c r="T38" s="17">
        <v>15084</v>
      </c>
      <c r="U38" s="14">
        <f t="shared" ref="U38:U69" si="2">DATEDIF($S38,$T38+1,"d")</f>
        <v>17</v>
      </c>
      <c r="V38" t="s">
        <v>419</v>
      </c>
      <c r="W38" s="4">
        <f t="shared" ref="W38:W69" si="3">DATEDIF($N38,$S38,"y")</f>
        <v>33</v>
      </c>
      <c r="X38" s="4"/>
      <c r="Y38" s="4"/>
    </row>
    <row r="39" spans="1:56" x14ac:dyDescent="0.3">
      <c r="A39" s="7">
        <v>32</v>
      </c>
      <c r="B39" s="9" t="s">
        <v>454</v>
      </c>
      <c r="C39" t="s">
        <v>330</v>
      </c>
      <c r="D39" s="4">
        <v>288</v>
      </c>
      <c r="E39" s="4">
        <v>42</v>
      </c>
      <c r="F39" t="s">
        <v>132</v>
      </c>
      <c r="G39" t="s">
        <v>130</v>
      </c>
      <c r="I39" s="3" t="s">
        <v>402</v>
      </c>
      <c r="J39" s="3" t="s">
        <v>477</v>
      </c>
      <c r="K39" t="s">
        <v>130</v>
      </c>
      <c r="S39" s="1">
        <v>15695</v>
      </c>
      <c r="T39" s="1">
        <v>15710</v>
      </c>
      <c r="U39" s="14">
        <f t="shared" si="2"/>
        <v>16</v>
      </c>
      <c r="V39" t="s">
        <v>424</v>
      </c>
      <c r="W39" s="4">
        <f t="shared" si="3"/>
        <v>42</v>
      </c>
      <c r="X39" s="4"/>
      <c r="Y39" s="4"/>
    </row>
    <row r="40" spans="1:56" x14ac:dyDescent="0.3">
      <c r="A40" s="7">
        <v>33</v>
      </c>
      <c r="B40" s="10" t="s">
        <v>454</v>
      </c>
      <c r="C40" t="s">
        <v>327</v>
      </c>
      <c r="D40" s="4">
        <v>283</v>
      </c>
      <c r="E40" s="4">
        <v>42</v>
      </c>
      <c r="F40" t="s">
        <v>133</v>
      </c>
      <c r="G40" t="s">
        <v>134</v>
      </c>
      <c r="I40" t="s">
        <v>402</v>
      </c>
      <c r="J40" t="s">
        <v>133</v>
      </c>
      <c r="K40" t="s">
        <v>134</v>
      </c>
      <c r="N40" s="1">
        <v>8728</v>
      </c>
      <c r="P40" s="1"/>
      <c r="Q40" s="1"/>
      <c r="R40" s="1" t="s">
        <v>566</v>
      </c>
      <c r="S40" s="1">
        <v>15661</v>
      </c>
      <c r="T40" s="1">
        <v>15663</v>
      </c>
      <c r="U40" s="14">
        <f t="shared" si="2"/>
        <v>3</v>
      </c>
      <c r="V40" t="s">
        <v>424</v>
      </c>
      <c r="W40" s="4">
        <f t="shared" si="3"/>
        <v>18</v>
      </c>
      <c r="X40" s="4"/>
      <c r="Y40" s="4"/>
    </row>
    <row r="41" spans="1:56" x14ac:dyDescent="0.3">
      <c r="A41" s="7">
        <v>34</v>
      </c>
      <c r="B41" s="9"/>
      <c r="C41" t="s">
        <v>282</v>
      </c>
      <c r="D41" s="4">
        <v>126</v>
      </c>
      <c r="E41" s="4">
        <v>39</v>
      </c>
      <c r="F41" t="s">
        <v>38</v>
      </c>
      <c r="G41" t="s">
        <v>39</v>
      </c>
      <c r="I41" t="s">
        <v>402</v>
      </c>
      <c r="J41" t="s">
        <v>38</v>
      </c>
      <c r="K41" t="s">
        <v>39</v>
      </c>
      <c r="L41" t="s">
        <v>40</v>
      </c>
      <c r="N41" s="1">
        <v>7622</v>
      </c>
      <c r="P41" s="1"/>
      <c r="Q41" s="1"/>
      <c r="R41" s="16"/>
      <c r="S41" s="1">
        <v>14689</v>
      </c>
      <c r="T41" s="1">
        <v>14689</v>
      </c>
      <c r="U41" s="14">
        <f t="shared" si="2"/>
        <v>1</v>
      </c>
      <c r="V41" t="s">
        <v>409</v>
      </c>
      <c r="W41" s="4">
        <f t="shared" si="3"/>
        <v>19</v>
      </c>
      <c r="X41" s="4"/>
      <c r="Y41" s="4"/>
      <c r="Z41" t="s">
        <v>410</v>
      </c>
      <c r="AF41" s="3"/>
      <c r="AG41" s="3"/>
    </row>
    <row r="42" spans="1:56" x14ac:dyDescent="0.3">
      <c r="A42" s="7">
        <v>35</v>
      </c>
      <c r="B42" s="10" t="s">
        <v>454</v>
      </c>
      <c r="C42" t="s">
        <v>332</v>
      </c>
      <c r="D42" s="4">
        <v>290</v>
      </c>
      <c r="E42" s="4">
        <v>42</v>
      </c>
      <c r="F42" t="s">
        <v>135</v>
      </c>
      <c r="G42" t="s">
        <v>136</v>
      </c>
      <c r="I42" t="s">
        <v>464</v>
      </c>
      <c r="J42" t="s">
        <v>135</v>
      </c>
      <c r="K42" t="s">
        <v>136</v>
      </c>
      <c r="L42" t="s">
        <v>137</v>
      </c>
      <c r="N42" s="1">
        <v>9172</v>
      </c>
      <c r="P42" s="1"/>
      <c r="Q42" s="1"/>
      <c r="R42" s="1" t="s">
        <v>567</v>
      </c>
      <c r="S42" s="1">
        <v>15691</v>
      </c>
      <c r="T42" s="1">
        <v>15720</v>
      </c>
      <c r="U42" s="14">
        <f t="shared" si="2"/>
        <v>30</v>
      </c>
      <c r="V42" t="s">
        <v>424</v>
      </c>
      <c r="W42" s="4">
        <f t="shared" si="3"/>
        <v>17</v>
      </c>
      <c r="X42" s="24">
        <v>15280</v>
      </c>
      <c r="Y42" s="24">
        <v>15691</v>
      </c>
      <c r="Z42" t="s">
        <v>568</v>
      </c>
    </row>
    <row r="43" spans="1:56" x14ac:dyDescent="0.3">
      <c r="A43" s="7">
        <v>36</v>
      </c>
      <c r="B43" s="19" t="s">
        <v>453</v>
      </c>
      <c r="C43" t="s">
        <v>331</v>
      </c>
      <c r="D43" s="4">
        <v>289</v>
      </c>
      <c r="E43" s="4">
        <v>42</v>
      </c>
      <c r="F43" t="s">
        <v>138</v>
      </c>
      <c r="G43" t="s">
        <v>139</v>
      </c>
      <c r="I43" t="s">
        <v>464</v>
      </c>
      <c r="J43" t="s">
        <v>138</v>
      </c>
      <c r="K43" t="s">
        <v>139</v>
      </c>
      <c r="N43" s="1">
        <v>7048</v>
      </c>
      <c r="P43" s="1"/>
      <c r="Q43" s="1"/>
      <c r="R43" s="1" t="s">
        <v>556</v>
      </c>
      <c r="S43" s="1">
        <v>15699</v>
      </c>
      <c r="T43" s="1">
        <v>15720</v>
      </c>
      <c r="U43" s="14">
        <f t="shared" si="2"/>
        <v>22</v>
      </c>
      <c r="V43" t="s">
        <v>431</v>
      </c>
      <c r="W43" s="4">
        <f t="shared" si="3"/>
        <v>23</v>
      </c>
      <c r="X43" s="4"/>
      <c r="Y43" s="4"/>
      <c r="Z43" t="s">
        <v>569</v>
      </c>
      <c r="AB43" t="s">
        <v>570</v>
      </c>
      <c r="BD43" t="s">
        <v>507</v>
      </c>
    </row>
    <row r="44" spans="1:56" x14ac:dyDescent="0.3">
      <c r="A44" s="7">
        <v>37</v>
      </c>
      <c r="B44" s="10" t="s">
        <v>454</v>
      </c>
      <c r="C44" t="s">
        <v>356</v>
      </c>
      <c r="D44" s="4">
        <v>334</v>
      </c>
      <c r="E44" s="4">
        <v>43</v>
      </c>
      <c r="F44" t="s">
        <v>140</v>
      </c>
      <c r="G44" t="s">
        <v>141</v>
      </c>
      <c r="I44" t="s">
        <v>402</v>
      </c>
      <c r="J44" t="s">
        <v>140</v>
      </c>
      <c r="K44" t="s">
        <v>141</v>
      </c>
      <c r="L44" t="s">
        <v>142</v>
      </c>
      <c r="N44" s="1">
        <v>643</v>
      </c>
      <c r="P44" s="1"/>
      <c r="Q44" s="1"/>
      <c r="R44" s="1" t="s">
        <v>567</v>
      </c>
      <c r="S44" s="17">
        <v>15869</v>
      </c>
      <c r="T44" s="17">
        <v>15875</v>
      </c>
      <c r="U44" s="14">
        <f t="shared" si="2"/>
        <v>7</v>
      </c>
      <c r="V44" t="s">
        <v>439</v>
      </c>
      <c r="W44" s="4">
        <f t="shared" si="3"/>
        <v>41</v>
      </c>
      <c r="X44" s="4"/>
      <c r="Y44" s="4"/>
    </row>
    <row r="45" spans="1:56" x14ac:dyDescent="0.3">
      <c r="A45" s="7">
        <v>38</v>
      </c>
      <c r="B45" s="10" t="s">
        <v>454</v>
      </c>
      <c r="C45" t="s">
        <v>286</v>
      </c>
      <c r="D45" s="4">
        <v>153</v>
      </c>
      <c r="E45" s="4">
        <v>40</v>
      </c>
      <c r="F45" t="s">
        <v>41</v>
      </c>
      <c r="G45" t="s">
        <v>42</v>
      </c>
      <c r="I45" t="s">
        <v>402</v>
      </c>
      <c r="J45" t="s">
        <v>41</v>
      </c>
      <c r="K45" t="s">
        <v>42</v>
      </c>
      <c r="L45" t="s">
        <v>43</v>
      </c>
      <c r="N45" s="1">
        <v>8687</v>
      </c>
      <c r="P45" s="1"/>
      <c r="Q45" s="1"/>
      <c r="R45" s="1" t="s">
        <v>456</v>
      </c>
      <c r="S45" s="1">
        <v>14853</v>
      </c>
      <c r="T45" s="1">
        <v>14864</v>
      </c>
      <c r="U45" s="14">
        <f t="shared" si="2"/>
        <v>12</v>
      </c>
      <c r="V45" t="s">
        <v>416</v>
      </c>
      <c r="W45" s="4">
        <f t="shared" si="3"/>
        <v>16</v>
      </c>
      <c r="X45" s="4"/>
      <c r="Y45" s="4"/>
      <c r="BD45" t="s">
        <v>482</v>
      </c>
    </row>
    <row r="46" spans="1:56" x14ac:dyDescent="0.3">
      <c r="A46" s="7">
        <v>39</v>
      </c>
      <c r="B46" s="19" t="s">
        <v>479</v>
      </c>
      <c r="C46" t="s">
        <v>365</v>
      </c>
      <c r="D46" s="4">
        <v>346</v>
      </c>
      <c r="E46" s="4">
        <v>43</v>
      </c>
      <c r="F46" t="s">
        <v>210</v>
      </c>
      <c r="G46" t="s">
        <v>36</v>
      </c>
      <c r="I46" t="s">
        <v>402</v>
      </c>
      <c r="J46" t="s">
        <v>210</v>
      </c>
      <c r="K46" t="s">
        <v>36</v>
      </c>
      <c r="N46" s="1">
        <v>1165</v>
      </c>
      <c r="P46" s="1"/>
      <c r="Q46" s="1"/>
      <c r="R46" s="1" t="s">
        <v>456</v>
      </c>
      <c r="S46" s="1">
        <v>15904</v>
      </c>
      <c r="T46" s="1">
        <v>15910</v>
      </c>
      <c r="U46" s="14">
        <f t="shared" si="2"/>
        <v>7</v>
      </c>
      <c r="V46" t="s">
        <v>441</v>
      </c>
      <c r="W46" s="4">
        <f t="shared" si="3"/>
        <v>40</v>
      </c>
      <c r="X46" s="4"/>
      <c r="Y46" s="4"/>
    </row>
    <row r="47" spans="1:56" x14ac:dyDescent="0.3">
      <c r="A47" s="7">
        <v>40</v>
      </c>
      <c r="B47" s="10" t="s">
        <v>454</v>
      </c>
      <c r="C47" t="s">
        <v>328</v>
      </c>
      <c r="D47" s="4">
        <v>284</v>
      </c>
      <c r="E47" s="4">
        <v>42</v>
      </c>
      <c r="F47" t="s">
        <v>143</v>
      </c>
      <c r="G47" t="s">
        <v>16</v>
      </c>
      <c r="I47" t="s">
        <v>402</v>
      </c>
      <c r="J47" t="s">
        <v>143</v>
      </c>
      <c r="K47" t="s">
        <v>16</v>
      </c>
      <c r="N47" s="1">
        <v>7482</v>
      </c>
      <c r="P47" s="1"/>
      <c r="Q47" s="1"/>
      <c r="R47" s="1" t="s">
        <v>558</v>
      </c>
      <c r="S47" s="1">
        <v>15647</v>
      </c>
      <c r="T47" s="1">
        <v>15656</v>
      </c>
      <c r="U47" s="14">
        <f t="shared" si="2"/>
        <v>10</v>
      </c>
      <c r="V47" t="s">
        <v>394</v>
      </c>
      <c r="W47" s="4">
        <f t="shared" si="3"/>
        <v>22</v>
      </c>
      <c r="X47" s="4"/>
      <c r="Y47" s="4"/>
    </row>
    <row r="48" spans="1:56" x14ac:dyDescent="0.3">
      <c r="A48" s="7">
        <v>41</v>
      </c>
      <c r="B48" s="10" t="s">
        <v>454</v>
      </c>
      <c r="C48" t="s">
        <v>310</v>
      </c>
      <c r="D48" s="4">
        <v>241</v>
      </c>
      <c r="E48" s="4">
        <v>42</v>
      </c>
      <c r="F48" t="s">
        <v>44</v>
      </c>
      <c r="G48" t="s">
        <v>45</v>
      </c>
      <c r="I48" t="s">
        <v>402</v>
      </c>
      <c r="J48" t="s">
        <v>44</v>
      </c>
      <c r="K48" t="s">
        <v>45</v>
      </c>
      <c r="L48" t="s">
        <v>46</v>
      </c>
      <c r="M48" t="s">
        <v>519</v>
      </c>
      <c r="N48" s="1">
        <v>6032</v>
      </c>
      <c r="P48" s="1"/>
      <c r="Q48" s="1"/>
      <c r="R48" s="1" t="s">
        <v>558</v>
      </c>
      <c r="S48" s="17">
        <v>15445</v>
      </c>
      <c r="T48" s="17">
        <v>15459</v>
      </c>
      <c r="U48" s="14">
        <f t="shared" si="2"/>
        <v>15</v>
      </c>
      <c r="V48" t="s">
        <v>427</v>
      </c>
      <c r="W48" s="4">
        <f t="shared" si="3"/>
        <v>25</v>
      </c>
      <c r="X48" s="4"/>
      <c r="Y48" s="4"/>
    </row>
    <row r="49" spans="1:56" x14ac:dyDescent="0.3">
      <c r="A49" s="7">
        <v>42</v>
      </c>
      <c r="B49" s="10" t="s">
        <v>454</v>
      </c>
      <c r="C49" t="s">
        <v>377</v>
      </c>
      <c r="D49" s="4">
        <v>359</v>
      </c>
      <c r="E49" s="4">
        <v>43</v>
      </c>
      <c r="F49" t="s">
        <v>211</v>
      </c>
      <c r="G49" t="s">
        <v>212</v>
      </c>
      <c r="I49" t="s">
        <v>402</v>
      </c>
      <c r="J49" t="s">
        <v>483</v>
      </c>
      <c r="K49" t="s">
        <v>484</v>
      </c>
      <c r="L49" s="3" t="s">
        <v>213</v>
      </c>
      <c r="M49" s="3"/>
      <c r="N49" s="1">
        <v>5828</v>
      </c>
      <c r="P49" s="1"/>
      <c r="Q49" s="1"/>
      <c r="R49" s="1" t="s">
        <v>404</v>
      </c>
      <c r="S49" s="1">
        <v>15933</v>
      </c>
      <c r="T49" s="1">
        <v>15939</v>
      </c>
      <c r="U49" s="14">
        <f t="shared" si="2"/>
        <v>7</v>
      </c>
      <c r="V49" t="s">
        <v>445</v>
      </c>
      <c r="W49" s="4">
        <f t="shared" si="3"/>
        <v>27</v>
      </c>
      <c r="X49" s="4"/>
      <c r="Y49" s="4"/>
    </row>
    <row r="50" spans="1:56" x14ac:dyDescent="0.3">
      <c r="A50" s="7">
        <v>43</v>
      </c>
      <c r="B50" s="10" t="s">
        <v>454</v>
      </c>
      <c r="C50" t="s">
        <v>378</v>
      </c>
      <c r="D50" s="4">
        <v>360</v>
      </c>
      <c r="E50" s="4">
        <v>43</v>
      </c>
      <c r="F50" t="s">
        <v>214</v>
      </c>
      <c r="G50" t="s">
        <v>50</v>
      </c>
      <c r="I50" t="s">
        <v>464</v>
      </c>
      <c r="J50" t="s">
        <v>214</v>
      </c>
      <c r="K50" t="s">
        <v>50</v>
      </c>
      <c r="L50" t="s">
        <v>215</v>
      </c>
      <c r="N50" s="1">
        <v>9297</v>
      </c>
      <c r="P50" s="1"/>
      <c r="Q50" s="1"/>
      <c r="R50" s="1" t="s">
        <v>486</v>
      </c>
      <c r="S50" s="1">
        <v>15935</v>
      </c>
      <c r="T50" s="1">
        <v>15939</v>
      </c>
      <c r="U50" s="14">
        <f t="shared" si="2"/>
        <v>5</v>
      </c>
      <c r="V50" t="s">
        <v>394</v>
      </c>
      <c r="W50" s="4">
        <f t="shared" si="3"/>
        <v>18</v>
      </c>
      <c r="X50" s="4"/>
      <c r="Y50" s="4"/>
      <c r="Z50" t="s">
        <v>571</v>
      </c>
      <c r="AB50" t="s">
        <v>572</v>
      </c>
    </row>
    <row r="51" spans="1:56" x14ac:dyDescent="0.3">
      <c r="A51" s="7">
        <v>44</v>
      </c>
      <c r="B51" s="10" t="s">
        <v>454</v>
      </c>
      <c r="C51" t="s">
        <v>370</v>
      </c>
      <c r="D51" s="4">
        <v>352</v>
      </c>
      <c r="E51" s="4">
        <v>43</v>
      </c>
      <c r="F51" t="s">
        <v>216</v>
      </c>
      <c r="G51" t="s">
        <v>217</v>
      </c>
      <c r="I51" t="s">
        <v>464</v>
      </c>
      <c r="J51" t="s">
        <v>216</v>
      </c>
      <c r="K51" t="s">
        <v>217</v>
      </c>
      <c r="L51" t="s">
        <v>218</v>
      </c>
      <c r="N51" s="1">
        <v>9304</v>
      </c>
      <c r="P51" s="1"/>
      <c r="Q51" s="1"/>
      <c r="R51" s="1" t="s">
        <v>486</v>
      </c>
      <c r="S51" s="1">
        <v>15917</v>
      </c>
      <c r="T51" s="1">
        <v>15918</v>
      </c>
      <c r="U51" s="14">
        <f t="shared" si="2"/>
        <v>2</v>
      </c>
      <c r="V51" t="s">
        <v>394</v>
      </c>
      <c r="W51" s="4">
        <f t="shared" si="3"/>
        <v>18</v>
      </c>
      <c r="X51" s="4"/>
      <c r="Y51" s="4"/>
      <c r="Z51" t="s">
        <v>573</v>
      </c>
      <c r="AB51" t="s">
        <v>551</v>
      </c>
    </row>
    <row r="52" spans="1:56" x14ac:dyDescent="0.3">
      <c r="A52" s="7">
        <v>44</v>
      </c>
      <c r="B52" s="10" t="s">
        <v>454</v>
      </c>
      <c r="C52" t="s">
        <v>375</v>
      </c>
      <c r="D52" s="4">
        <v>357</v>
      </c>
      <c r="E52" s="4">
        <v>43</v>
      </c>
      <c r="F52" t="s">
        <v>219</v>
      </c>
      <c r="G52" t="s">
        <v>217</v>
      </c>
      <c r="I52" t="s">
        <v>464</v>
      </c>
      <c r="J52" t="s">
        <v>219</v>
      </c>
      <c r="K52" t="s">
        <v>217</v>
      </c>
      <c r="N52" s="1">
        <v>9184</v>
      </c>
      <c r="P52" s="1"/>
      <c r="Q52" s="1"/>
      <c r="R52" s="1" t="s">
        <v>486</v>
      </c>
      <c r="S52" s="1">
        <v>15932</v>
      </c>
      <c r="T52" s="1">
        <v>15939</v>
      </c>
      <c r="U52" s="14">
        <f t="shared" si="2"/>
        <v>8</v>
      </c>
      <c r="V52" t="s">
        <v>444</v>
      </c>
      <c r="W52" s="4">
        <f t="shared" si="3"/>
        <v>18</v>
      </c>
      <c r="X52" s="4"/>
      <c r="Y52" s="4"/>
      <c r="Z52" t="s">
        <v>573</v>
      </c>
      <c r="AB52" t="s">
        <v>551</v>
      </c>
    </row>
    <row r="53" spans="1:56" x14ac:dyDescent="0.3">
      <c r="A53" s="7">
        <v>45</v>
      </c>
      <c r="B53" s="10" t="s">
        <v>400</v>
      </c>
      <c r="C53" t="s">
        <v>302</v>
      </c>
      <c r="D53" s="4">
        <v>188</v>
      </c>
      <c r="E53" s="4">
        <v>41</v>
      </c>
      <c r="F53" t="s">
        <v>47</v>
      </c>
      <c r="G53" t="s">
        <v>48</v>
      </c>
      <c r="I53" t="s">
        <v>402</v>
      </c>
      <c r="J53" t="s">
        <v>397</v>
      </c>
      <c r="K53" t="s">
        <v>398</v>
      </c>
      <c r="L53" t="s">
        <v>401</v>
      </c>
      <c r="N53" s="1">
        <v>7724</v>
      </c>
      <c r="P53" s="1"/>
      <c r="Q53" s="1"/>
      <c r="R53" s="1" t="s">
        <v>404</v>
      </c>
      <c r="S53" s="1">
        <v>15223</v>
      </c>
      <c r="T53" s="1">
        <v>15235</v>
      </c>
      <c r="U53" s="14">
        <f t="shared" si="2"/>
        <v>13</v>
      </c>
      <c r="V53" t="s">
        <v>422</v>
      </c>
      <c r="W53" s="4">
        <f t="shared" si="3"/>
        <v>20</v>
      </c>
      <c r="X53" s="4"/>
      <c r="Y53" s="4"/>
      <c r="Z53" t="s">
        <v>405</v>
      </c>
      <c r="AB53" t="s">
        <v>406</v>
      </c>
      <c r="AC53" t="s">
        <v>407</v>
      </c>
      <c r="BD53" t="s">
        <v>399</v>
      </c>
    </row>
    <row r="54" spans="1:56" x14ac:dyDescent="0.3">
      <c r="A54" s="7">
        <v>45</v>
      </c>
      <c r="B54" s="9" t="s">
        <v>400</v>
      </c>
      <c r="C54" t="s">
        <v>321</v>
      </c>
      <c r="D54" s="4">
        <v>267</v>
      </c>
      <c r="E54" s="4">
        <v>42</v>
      </c>
      <c r="F54" t="s">
        <v>49</v>
      </c>
      <c r="G54" t="s">
        <v>50</v>
      </c>
      <c r="I54" s="7" t="s">
        <v>403</v>
      </c>
      <c r="J54" s="8" t="s">
        <v>397</v>
      </c>
      <c r="K54" s="8" t="s">
        <v>398</v>
      </c>
      <c r="L54" t="s">
        <v>401</v>
      </c>
      <c r="N54" s="1">
        <v>7724</v>
      </c>
      <c r="P54" s="1"/>
      <c r="Q54" s="1"/>
      <c r="R54" s="1" t="s">
        <v>408</v>
      </c>
      <c r="S54" s="1">
        <v>15584</v>
      </c>
      <c r="T54" s="1">
        <v>15592</v>
      </c>
      <c r="U54" s="14">
        <f t="shared" si="2"/>
        <v>9</v>
      </c>
      <c r="V54" t="s">
        <v>394</v>
      </c>
      <c r="W54" s="4">
        <f t="shared" si="3"/>
        <v>21</v>
      </c>
      <c r="X54" s="4"/>
      <c r="Y54" s="4"/>
      <c r="BD54" t="s">
        <v>399</v>
      </c>
    </row>
    <row r="55" spans="1:56" x14ac:dyDescent="0.3">
      <c r="A55" s="7">
        <v>46</v>
      </c>
      <c r="B55" s="10" t="s">
        <v>454</v>
      </c>
      <c r="C55" t="s">
        <v>354</v>
      </c>
      <c r="D55" s="4">
        <v>330</v>
      </c>
      <c r="E55" s="4">
        <v>43</v>
      </c>
      <c r="F55" t="s">
        <v>144</v>
      </c>
      <c r="G55" t="s">
        <v>145</v>
      </c>
      <c r="I55" t="s">
        <v>402</v>
      </c>
      <c r="J55" t="s">
        <v>485</v>
      </c>
      <c r="K55" t="s">
        <v>145</v>
      </c>
      <c r="L55" t="s">
        <v>146</v>
      </c>
      <c r="N55" s="1">
        <v>8614</v>
      </c>
      <c r="P55" s="1"/>
      <c r="Q55" s="1"/>
      <c r="R55" s="1" t="s">
        <v>486</v>
      </c>
      <c r="S55" s="1">
        <v>15858</v>
      </c>
      <c r="T55" s="1">
        <v>15879</v>
      </c>
      <c r="U55" s="14">
        <f t="shared" si="2"/>
        <v>22</v>
      </c>
      <c r="V55" t="s">
        <v>424</v>
      </c>
      <c r="W55" s="4">
        <f t="shared" si="3"/>
        <v>19</v>
      </c>
      <c r="X55" s="4"/>
      <c r="Y55" s="4"/>
    </row>
    <row r="56" spans="1:56" x14ac:dyDescent="0.3">
      <c r="A56" s="7">
        <v>47</v>
      </c>
      <c r="B56" s="10" t="s">
        <v>454</v>
      </c>
      <c r="C56" t="s">
        <v>308</v>
      </c>
      <c r="D56" s="4">
        <v>233</v>
      </c>
      <c r="E56" s="4">
        <v>41</v>
      </c>
      <c r="F56" t="s">
        <v>51</v>
      </c>
      <c r="G56" t="s">
        <v>52</v>
      </c>
      <c r="I56" t="s">
        <v>464</v>
      </c>
      <c r="J56" t="s">
        <v>487</v>
      </c>
      <c r="K56" t="s">
        <v>488</v>
      </c>
      <c r="L56" t="s">
        <v>53</v>
      </c>
      <c r="N56" s="1">
        <v>6946</v>
      </c>
      <c r="P56" s="1"/>
      <c r="Q56" s="1"/>
      <c r="R56" s="1" t="s">
        <v>456</v>
      </c>
      <c r="S56" s="1">
        <v>15280</v>
      </c>
      <c r="T56" s="1">
        <v>15327</v>
      </c>
      <c r="U56" s="14">
        <f t="shared" si="2"/>
        <v>48</v>
      </c>
      <c r="V56" t="s">
        <v>424</v>
      </c>
      <c r="W56" s="4">
        <f t="shared" si="3"/>
        <v>22</v>
      </c>
      <c r="X56" s="4"/>
      <c r="Y56" s="4"/>
      <c r="BD56" t="s">
        <v>489</v>
      </c>
    </row>
    <row r="57" spans="1:56" x14ac:dyDescent="0.3">
      <c r="A57" s="7">
        <v>48</v>
      </c>
      <c r="B57" s="10" t="s">
        <v>480</v>
      </c>
      <c r="C57" t="s">
        <v>273</v>
      </c>
      <c r="D57" s="4">
        <v>87</v>
      </c>
      <c r="E57" s="4">
        <v>39</v>
      </c>
      <c r="F57" t="s">
        <v>54</v>
      </c>
      <c r="G57" t="s">
        <v>55</v>
      </c>
      <c r="I57" t="s">
        <v>402</v>
      </c>
      <c r="J57" t="s">
        <v>54</v>
      </c>
      <c r="K57" t="s">
        <v>55</v>
      </c>
      <c r="L57" t="s">
        <v>56</v>
      </c>
      <c r="N57" s="1">
        <v>2396</v>
      </c>
      <c r="P57" s="1"/>
      <c r="Q57" s="1"/>
      <c r="R57" s="1" t="s">
        <v>411</v>
      </c>
      <c r="S57" s="1">
        <v>14492</v>
      </c>
      <c r="T57" s="1">
        <v>14499</v>
      </c>
      <c r="U57" s="14">
        <f t="shared" si="2"/>
        <v>8</v>
      </c>
      <c r="V57" t="s">
        <v>275</v>
      </c>
      <c r="W57" s="4">
        <f t="shared" si="3"/>
        <v>33</v>
      </c>
      <c r="X57" s="4"/>
      <c r="Y57" s="4"/>
      <c r="Z57" t="s">
        <v>279</v>
      </c>
      <c r="AD57" t="s">
        <v>281</v>
      </c>
    </row>
    <row r="58" spans="1:56" x14ac:dyDescent="0.3">
      <c r="A58" s="7">
        <v>48</v>
      </c>
      <c r="B58" s="10" t="s">
        <v>480</v>
      </c>
      <c r="C58" t="s">
        <v>274</v>
      </c>
      <c r="D58" s="4">
        <v>110</v>
      </c>
      <c r="E58" s="4">
        <v>39</v>
      </c>
      <c r="F58" t="s">
        <v>54</v>
      </c>
      <c r="G58" t="s">
        <v>55</v>
      </c>
      <c r="I58" t="s">
        <v>402</v>
      </c>
      <c r="J58" t="s">
        <v>54</v>
      </c>
      <c r="K58" t="s">
        <v>55</v>
      </c>
      <c r="L58" t="s">
        <v>56</v>
      </c>
      <c r="N58" s="1">
        <v>2396</v>
      </c>
      <c r="P58" s="1"/>
      <c r="Q58" s="1"/>
      <c r="R58" s="1" t="s">
        <v>411</v>
      </c>
      <c r="S58" s="1">
        <v>14577</v>
      </c>
      <c r="T58" s="1">
        <v>14597</v>
      </c>
      <c r="U58" s="14">
        <f t="shared" si="2"/>
        <v>21</v>
      </c>
      <c r="V58" t="s">
        <v>276</v>
      </c>
      <c r="W58" s="4">
        <f t="shared" si="3"/>
        <v>33</v>
      </c>
      <c r="X58" s="4"/>
      <c r="Y58" s="4"/>
      <c r="Z58" t="s">
        <v>279</v>
      </c>
      <c r="AD58" t="s">
        <v>281</v>
      </c>
    </row>
    <row r="59" spans="1:56" x14ac:dyDescent="0.3">
      <c r="A59" s="7">
        <v>49</v>
      </c>
      <c r="B59" s="10" t="s">
        <v>454</v>
      </c>
      <c r="C59" t="s">
        <v>374</v>
      </c>
      <c r="D59" s="4">
        <v>356</v>
      </c>
      <c r="E59" s="4">
        <v>43</v>
      </c>
      <c r="F59" t="s">
        <v>220</v>
      </c>
      <c r="G59" t="s">
        <v>221</v>
      </c>
      <c r="I59" t="s">
        <v>402</v>
      </c>
      <c r="J59" t="s">
        <v>220</v>
      </c>
      <c r="K59" t="s">
        <v>221</v>
      </c>
      <c r="L59" t="s">
        <v>222</v>
      </c>
      <c r="N59" s="1">
        <v>8323</v>
      </c>
      <c r="P59" s="1"/>
      <c r="Q59" s="1"/>
      <c r="R59" s="1" t="s">
        <v>559</v>
      </c>
      <c r="S59" s="1">
        <v>15931</v>
      </c>
      <c r="T59" s="1">
        <v>15941</v>
      </c>
      <c r="U59" s="14">
        <f t="shared" si="2"/>
        <v>11</v>
      </c>
      <c r="V59" t="s">
        <v>424</v>
      </c>
      <c r="W59" s="4">
        <f t="shared" si="3"/>
        <v>20</v>
      </c>
      <c r="X59" s="4"/>
      <c r="Y59" s="4"/>
    </row>
    <row r="60" spans="1:56" x14ac:dyDescent="0.3">
      <c r="A60" s="7">
        <v>50</v>
      </c>
      <c r="B60" s="9"/>
      <c r="C60" t="s">
        <v>330</v>
      </c>
      <c r="D60" s="4" t="s">
        <v>338</v>
      </c>
      <c r="E60" s="4">
        <v>42</v>
      </c>
      <c r="F60" t="s">
        <v>490</v>
      </c>
      <c r="G60" t="s">
        <v>148</v>
      </c>
      <c r="I60" t="s">
        <v>464</v>
      </c>
      <c r="J60" t="s">
        <v>147</v>
      </c>
      <c r="K60" t="s">
        <v>148</v>
      </c>
      <c r="L60" t="s">
        <v>149</v>
      </c>
      <c r="N60" s="1">
        <v>8495</v>
      </c>
      <c r="P60" s="1"/>
      <c r="Q60" s="1"/>
      <c r="R60" s="1" t="s">
        <v>567</v>
      </c>
      <c r="S60" s="1">
        <v>15697</v>
      </c>
      <c r="T60" s="1">
        <v>15704</v>
      </c>
      <c r="U60" s="14">
        <f t="shared" si="2"/>
        <v>8</v>
      </c>
      <c r="V60" t="s">
        <v>394</v>
      </c>
      <c r="W60" s="4">
        <f t="shared" si="3"/>
        <v>19</v>
      </c>
      <c r="X60" s="4"/>
      <c r="Y60" s="4"/>
    </row>
    <row r="61" spans="1:56" x14ac:dyDescent="0.3">
      <c r="A61" s="7">
        <v>51</v>
      </c>
      <c r="B61" s="9" t="s">
        <v>454</v>
      </c>
      <c r="C61" t="s">
        <v>346</v>
      </c>
      <c r="D61" s="4">
        <v>313</v>
      </c>
      <c r="E61" s="4">
        <v>43</v>
      </c>
      <c r="F61" t="s">
        <v>150</v>
      </c>
      <c r="G61" s="3" t="s">
        <v>151</v>
      </c>
      <c r="H61" s="3" t="s">
        <v>152</v>
      </c>
      <c r="I61" t="s">
        <v>464</v>
      </c>
      <c r="J61" t="s">
        <v>491</v>
      </c>
      <c r="K61" s="7" t="s">
        <v>492</v>
      </c>
      <c r="N61" s="1">
        <v>5830</v>
      </c>
      <c r="P61" s="1"/>
      <c r="Q61" s="1"/>
      <c r="R61" s="1" t="s">
        <v>486</v>
      </c>
      <c r="S61" s="1">
        <v>15770</v>
      </c>
      <c r="T61" s="1">
        <v>15780</v>
      </c>
      <c r="U61" s="14">
        <f t="shared" si="2"/>
        <v>11</v>
      </c>
      <c r="V61" t="s">
        <v>394</v>
      </c>
      <c r="W61" s="4">
        <f t="shared" si="3"/>
        <v>27</v>
      </c>
      <c r="X61" s="4"/>
      <c r="Y61" s="4"/>
      <c r="Z61" t="s">
        <v>574</v>
      </c>
    </row>
    <row r="62" spans="1:56" x14ac:dyDescent="0.3">
      <c r="A62" s="7">
        <v>52</v>
      </c>
      <c r="B62" s="10" t="s">
        <v>454</v>
      </c>
      <c r="C62" t="s">
        <v>335</v>
      </c>
      <c r="D62" s="4">
        <v>297</v>
      </c>
      <c r="E62" s="4">
        <v>43</v>
      </c>
      <c r="F62" t="s">
        <v>495</v>
      </c>
      <c r="G62" t="s">
        <v>153</v>
      </c>
      <c r="I62" t="s">
        <v>402</v>
      </c>
      <c r="J62" s="21" t="s">
        <v>433</v>
      </c>
      <c r="K62" t="s">
        <v>460</v>
      </c>
      <c r="L62" t="s">
        <v>154</v>
      </c>
      <c r="N62" s="1">
        <v>8445</v>
      </c>
      <c r="P62" s="1"/>
      <c r="Q62" s="1"/>
      <c r="R62" s="1" t="s">
        <v>559</v>
      </c>
      <c r="S62" s="1">
        <v>15721</v>
      </c>
      <c r="T62" s="1">
        <v>15818</v>
      </c>
      <c r="U62" s="14">
        <f t="shared" si="2"/>
        <v>98</v>
      </c>
      <c r="V62" t="s">
        <v>432</v>
      </c>
      <c r="W62" s="4">
        <f t="shared" si="3"/>
        <v>19</v>
      </c>
      <c r="X62" s="4"/>
      <c r="Y62" s="4"/>
    </row>
    <row r="63" spans="1:56" x14ac:dyDescent="0.3">
      <c r="A63" s="7">
        <v>53</v>
      </c>
      <c r="B63" s="10" t="s">
        <v>454</v>
      </c>
      <c r="C63" t="s">
        <v>307</v>
      </c>
      <c r="D63" s="4">
        <v>228</v>
      </c>
      <c r="E63" s="4">
        <v>41</v>
      </c>
      <c r="F63" t="s">
        <v>57</v>
      </c>
      <c r="G63" t="s">
        <v>58</v>
      </c>
      <c r="I63" t="s">
        <v>402</v>
      </c>
      <c r="J63" t="s">
        <v>57</v>
      </c>
      <c r="K63" t="s">
        <v>58</v>
      </c>
      <c r="L63" t="s">
        <v>59</v>
      </c>
      <c r="N63" s="18" t="s">
        <v>425</v>
      </c>
      <c r="R63" s="1" t="s">
        <v>456</v>
      </c>
      <c r="S63" s="1">
        <v>15326</v>
      </c>
      <c r="T63" s="1">
        <v>15328</v>
      </c>
      <c r="U63" s="14">
        <f t="shared" si="2"/>
        <v>3</v>
      </c>
      <c r="V63" t="s">
        <v>394</v>
      </c>
      <c r="W63" s="4" t="e">
        <f t="shared" si="3"/>
        <v>#VALUE!</v>
      </c>
      <c r="X63" s="4"/>
      <c r="Y63" s="4"/>
      <c r="BD63" t="s">
        <v>511</v>
      </c>
    </row>
    <row r="64" spans="1:56" x14ac:dyDescent="0.3">
      <c r="A64" s="7">
        <v>53</v>
      </c>
      <c r="B64" s="10" t="s">
        <v>454</v>
      </c>
      <c r="C64" t="s">
        <v>309</v>
      </c>
      <c r="D64" s="4">
        <v>237</v>
      </c>
      <c r="E64" s="4">
        <v>42</v>
      </c>
      <c r="F64" t="s">
        <v>60</v>
      </c>
      <c r="G64" t="s">
        <v>61</v>
      </c>
      <c r="I64" t="s">
        <v>402</v>
      </c>
      <c r="J64" t="s">
        <v>60</v>
      </c>
      <c r="K64" t="s">
        <v>61</v>
      </c>
      <c r="L64" t="s">
        <v>62</v>
      </c>
      <c r="N64" s="18" t="s">
        <v>426</v>
      </c>
      <c r="R64" s="1" t="s">
        <v>456</v>
      </c>
      <c r="S64" s="1">
        <v>15347</v>
      </c>
      <c r="T64" s="1">
        <v>15348</v>
      </c>
      <c r="U64" s="14">
        <f t="shared" si="2"/>
        <v>2</v>
      </c>
      <c r="V64" t="s">
        <v>394</v>
      </c>
      <c r="W64" s="4" t="e">
        <f t="shared" si="3"/>
        <v>#VALUE!</v>
      </c>
      <c r="X64" s="4"/>
      <c r="Y64" s="4"/>
    </row>
    <row r="65" spans="1:56" x14ac:dyDescent="0.3">
      <c r="A65" s="7">
        <v>54</v>
      </c>
      <c r="B65" s="10" t="s">
        <v>454</v>
      </c>
      <c r="C65" t="s">
        <v>295</v>
      </c>
      <c r="D65" s="4">
        <v>187</v>
      </c>
      <c r="E65" s="4">
        <v>41</v>
      </c>
      <c r="F65" t="s">
        <v>63</v>
      </c>
      <c r="G65" t="s">
        <v>64</v>
      </c>
      <c r="I65" s="7" t="s">
        <v>402</v>
      </c>
      <c r="J65" s="7" t="s">
        <v>458</v>
      </c>
      <c r="K65" s="7" t="s">
        <v>457</v>
      </c>
      <c r="L65" t="s">
        <v>65</v>
      </c>
      <c r="N65" s="18" t="s">
        <v>452</v>
      </c>
      <c r="Q65">
        <f>+P65</f>
        <v>0</v>
      </c>
      <c r="R65" s="1" t="s">
        <v>456</v>
      </c>
      <c r="S65" s="17">
        <v>15152</v>
      </c>
      <c r="T65" s="17">
        <v>15161</v>
      </c>
      <c r="U65" s="14">
        <f t="shared" si="2"/>
        <v>10</v>
      </c>
      <c r="V65" t="s">
        <v>422</v>
      </c>
      <c r="W65" s="4" t="e">
        <f t="shared" si="3"/>
        <v>#VALUE!</v>
      </c>
      <c r="X65" s="4"/>
      <c r="Y65" s="4"/>
      <c r="BD65" t="s">
        <v>507</v>
      </c>
    </row>
    <row r="66" spans="1:56" x14ac:dyDescent="0.3">
      <c r="A66" s="7">
        <v>55</v>
      </c>
      <c r="B66" s="10" t="s">
        <v>453</v>
      </c>
      <c r="C66" t="s">
        <v>283</v>
      </c>
      <c r="D66" s="4" t="s">
        <v>298</v>
      </c>
      <c r="E66" s="4">
        <v>40</v>
      </c>
      <c r="F66" t="s">
        <v>66</v>
      </c>
      <c r="G66" t="s">
        <v>67</v>
      </c>
      <c r="I66" t="s">
        <v>402</v>
      </c>
      <c r="J66" t="s">
        <v>66</v>
      </c>
      <c r="K66" t="s">
        <v>67</v>
      </c>
      <c r="L66" t="s">
        <v>68</v>
      </c>
      <c r="N66" s="1">
        <v>4751</v>
      </c>
      <c r="P66" s="1"/>
      <c r="Q66" s="1"/>
      <c r="R66" s="1" t="s">
        <v>449</v>
      </c>
      <c r="S66" s="1">
        <v>14742</v>
      </c>
      <c r="T66" s="1">
        <v>14793</v>
      </c>
      <c r="U66" s="14">
        <f t="shared" si="2"/>
        <v>52</v>
      </c>
      <c r="V66" t="s">
        <v>275</v>
      </c>
      <c r="W66" s="4">
        <f t="shared" si="3"/>
        <v>27</v>
      </c>
      <c r="X66" s="4"/>
      <c r="Y66" s="4"/>
      <c r="Z66" t="s">
        <v>412</v>
      </c>
      <c r="AD66" t="s">
        <v>414</v>
      </c>
      <c r="AK66" t="s">
        <v>413</v>
      </c>
    </row>
    <row r="67" spans="1:56" x14ac:dyDescent="0.3">
      <c r="A67" s="7">
        <v>56</v>
      </c>
      <c r="B67" s="10" t="s">
        <v>454</v>
      </c>
      <c r="C67" t="s">
        <v>369</v>
      </c>
      <c r="D67" s="4">
        <v>350</v>
      </c>
      <c r="E67" s="4">
        <v>43</v>
      </c>
      <c r="F67" t="s">
        <v>223</v>
      </c>
      <c r="G67" t="s">
        <v>186</v>
      </c>
      <c r="I67" t="s">
        <v>402</v>
      </c>
      <c r="J67" t="s">
        <v>223</v>
      </c>
      <c r="K67" t="s">
        <v>186</v>
      </c>
      <c r="N67" s="1">
        <v>7584</v>
      </c>
      <c r="P67" s="1"/>
      <c r="Q67" s="1"/>
      <c r="R67" s="1" t="s">
        <v>456</v>
      </c>
      <c r="S67" s="1">
        <v>15907</v>
      </c>
      <c r="T67" s="1">
        <v>15928</v>
      </c>
      <c r="U67" s="14">
        <f t="shared" si="2"/>
        <v>22</v>
      </c>
      <c r="V67" t="s">
        <v>442</v>
      </c>
      <c r="W67" s="4">
        <f t="shared" si="3"/>
        <v>22</v>
      </c>
      <c r="X67" s="4"/>
      <c r="Y67" s="4"/>
      <c r="Z67" t="s">
        <v>533</v>
      </c>
    </row>
    <row r="68" spans="1:56" x14ac:dyDescent="0.3">
      <c r="A68" s="7">
        <v>57</v>
      </c>
      <c r="B68" s="10" t="s">
        <v>481</v>
      </c>
      <c r="C68" t="s">
        <v>387</v>
      </c>
      <c r="D68" s="4">
        <v>372</v>
      </c>
      <c r="E68" s="4">
        <v>43</v>
      </c>
      <c r="F68" t="s">
        <v>224</v>
      </c>
      <c r="G68" t="s">
        <v>225</v>
      </c>
      <c r="I68" t="s">
        <v>402</v>
      </c>
      <c r="J68" t="s">
        <v>224</v>
      </c>
      <c r="K68" t="s">
        <v>225</v>
      </c>
      <c r="L68" t="s">
        <v>226</v>
      </c>
      <c r="N68" s="1">
        <v>1436</v>
      </c>
      <c r="P68" s="1"/>
      <c r="Q68" s="1"/>
      <c r="R68" s="1" t="s">
        <v>486</v>
      </c>
      <c r="S68" s="1">
        <v>15981</v>
      </c>
      <c r="T68" s="1">
        <v>15983</v>
      </c>
      <c r="U68" s="14">
        <f t="shared" si="2"/>
        <v>3</v>
      </c>
      <c r="V68" t="s">
        <v>299</v>
      </c>
      <c r="W68" s="4">
        <f t="shared" si="3"/>
        <v>39</v>
      </c>
      <c r="X68" s="4"/>
      <c r="Y68" s="4"/>
      <c r="Z68" t="s">
        <v>575</v>
      </c>
    </row>
    <row r="69" spans="1:56" x14ac:dyDescent="0.3">
      <c r="A69" s="7">
        <v>58</v>
      </c>
      <c r="B69" s="10" t="s">
        <v>454</v>
      </c>
      <c r="C69" t="s">
        <v>317</v>
      </c>
      <c r="D69" s="4">
        <v>257</v>
      </c>
      <c r="E69" s="4">
        <v>42</v>
      </c>
      <c r="F69" t="s">
        <v>69</v>
      </c>
      <c r="G69" t="s">
        <v>16</v>
      </c>
      <c r="I69" t="s">
        <v>402</v>
      </c>
      <c r="J69" t="s">
        <v>69</v>
      </c>
      <c r="K69" t="s">
        <v>16</v>
      </c>
      <c r="N69" s="1">
        <v>6101</v>
      </c>
      <c r="P69" s="1"/>
      <c r="Q69" s="1"/>
      <c r="R69" s="1" t="s">
        <v>456</v>
      </c>
      <c r="S69" s="1">
        <v>15557</v>
      </c>
      <c r="T69" s="1">
        <v>15567</v>
      </c>
      <c r="U69" s="14">
        <f t="shared" si="2"/>
        <v>11</v>
      </c>
      <c r="V69" t="s">
        <v>420</v>
      </c>
      <c r="W69" s="4">
        <f t="shared" si="3"/>
        <v>25</v>
      </c>
      <c r="X69" s="4"/>
      <c r="Y69" s="4"/>
    </row>
    <row r="70" spans="1:56" x14ac:dyDescent="0.3">
      <c r="A70" s="7">
        <v>59</v>
      </c>
      <c r="B70" s="10" t="s">
        <v>454</v>
      </c>
      <c r="C70" t="s">
        <v>294</v>
      </c>
      <c r="D70" s="4">
        <v>186</v>
      </c>
      <c r="E70" s="4">
        <v>41</v>
      </c>
      <c r="F70" t="s">
        <v>70</v>
      </c>
      <c r="G70" t="s">
        <v>71</v>
      </c>
      <c r="I70" t="s">
        <v>402</v>
      </c>
      <c r="J70" t="s">
        <v>70</v>
      </c>
      <c r="K70" t="s">
        <v>71</v>
      </c>
      <c r="L70" t="s">
        <v>72</v>
      </c>
      <c r="N70" s="1">
        <v>5371</v>
      </c>
      <c r="P70" s="1"/>
      <c r="Q70" s="1"/>
      <c r="R70" s="1" t="s">
        <v>558</v>
      </c>
      <c r="S70" s="17">
        <v>15152</v>
      </c>
      <c r="T70" s="17">
        <v>15161</v>
      </c>
      <c r="U70" s="14">
        <f t="shared" ref="U70:U101" si="4">DATEDIF($S70,$T70+1,"d")</f>
        <v>10</v>
      </c>
      <c r="V70" t="s">
        <v>422</v>
      </c>
      <c r="W70" s="4">
        <f t="shared" ref="W70:W101" si="5">DATEDIF($N70,$S70,"y")</f>
        <v>26</v>
      </c>
      <c r="X70" s="4"/>
      <c r="Y70" s="4"/>
    </row>
    <row r="71" spans="1:56" x14ac:dyDescent="0.3">
      <c r="A71" s="7">
        <v>60</v>
      </c>
      <c r="B71" s="9"/>
      <c r="C71" t="s">
        <v>303</v>
      </c>
      <c r="D71" s="4">
        <v>203</v>
      </c>
      <c r="E71" s="4">
        <v>41</v>
      </c>
      <c r="F71" t="s">
        <v>73</v>
      </c>
      <c r="G71" t="s">
        <v>74</v>
      </c>
      <c r="I71" t="s">
        <v>402</v>
      </c>
      <c r="J71" t="s">
        <v>73</v>
      </c>
      <c r="K71" t="s">
        <v>74</v>
      </c>
      <c r="L71" t="s">
        <v>75</v>
      </c>
      <c r="N71">
        <v>1921</v>
      </c>
      <c r="R71" s="1" t="s">
        <v>559</v>
      </c>
      <c r="S71" s="1">
        <v>15234</v>
      </c>
      <c r="T71" s="1">
        <v>15235</v>
      </c>
      <c r="U71" s="14">
        <f t="shared" si="4"/>
        <v>2</v>
      </c>
      <c r="V71" t="s">
        <v>422</v>
      </c>
      <c r="W71" s="4">
        <f t="shared" si="5"/>
        <v>36</v>
      </c>
      <c r="X71" s="4"/>
      <c r="Y71" s="4"/>
    </row>
    <row r="72" spans="1:56" x14ac:dyDescent="0.3">
      <c r="A72" s="7">
        <v>61</v>
      </c>
      <c r="B72" s="10" t="s">
        <v>454</v>
      </c>
      <c r="C72" t="s">
        <v>367</v>
      </c>
      <c r="D72" s="4">
        <v>348</v>
      </c>
      <c r="E72" s="4">
        <v>43</v>
      </c>
      <c r="F72" t="s">
        <v>227</v>
      </c>
      <c r="G72" t="s">
        <v>228</v>
      </c>
      <c r="I72" t="s">
        <v>402</v>
      </c>
      <c r="J72" t="s">
        <v>493</v>
      </c>
      <c r="K72" t="s">
        <v>494</v>
      </c>
      <c r="N72" s="1">
        <v>7320</v>
      </c>
      <c r="P72" s="1"/>
      <c r="Q72" s="1"/>
      <c r="R72" s="1" t="s">
        <v>456</v>
      </c>
      <c r="S72" s="17">
        <v>15904</v>
      </c>
      <c r="T72" s="17">
        <v>15928</v>
      </c>
      <c r="U72" s="14">
        <f t="shared" si="4"/>
        <v>25</v>
      </c>
      <c r="V72" t="s">
        <v>442</v>
      </c>
      <c r="W72" s="4">
        <f t="shared" si="5"/>
        <v>23</v>
      </c>
      <c r="X72" s="4"/>
      <c r="Y72" s="4"/>
      <c r="Z72" t="s">
        <v>577</v>
      </c>
      <c r="AB72" t="s">
        <v>576</v>
      </c>
    </row>
    <row r="73" spans="1:56" x14ac:dyDescent="0.3">
      <c r="A73" s="7">
        <v>62</v>
      </c>
      <c r="B73" s="10" t="s">
        <v>454</v>
      </c>
      <c r="C73" t="s">
        <v>290</v>
      </c>
      <c r="D73" s="4">
        <v>173</v>
      </c>
      <c r="E73" s="4">
        <v>41</v>
      </c>
      <c r="F73" t="s">
        <v>76</v>
      </c>
      <c r="G73" t="s">
        <v>77</v>
      </c>
      <c r="I73" t="s">
        <v>402</v>
      </c>
      <c r="J73" t="s">
        <v>76</v>
      </c>
      <c r="K73" t="s">
        <v>77</v>
      </c>
      <c r="L73" t="s">
        <v>78</v>
      </c>
      <c r="N73" s="1">
        <v>3770</v>
      </c>
      <c r="P73" s="1"/>
      <c r="Q73" s="1"/>
      <c r="R73" s="1" t="s">
        <v>558</v>
      </c>
      <c r="S73" s="17">
        <v>15068</v>
      </c>
      <c r="T73" s="17">
        <v>15084</v>
      </c>
      <c r="U73" s="14">
        <f t="shared" si="4"/>
        <v>17</v>
      </c>
      <c r="V73" t="s">
        <v>419</v>
      </c>
      <c r="W73" s="4">
        <f t="shared" si="5"/>
        <v>30</v>
      </c>
      <c r="X73" s="4"/>
      <c r="Y73" s="4"/>
    </row>
    <row r="74" spans="1:56" x14ac:dyDescent="0.3">
      <c r="A74" s="7">
        <v>63</v>
      </c>
      <c r="B74" s="10" t="s">
        <v>454</v>
      </c>
      <c r="C74" t="s">
        <v>293</v>
      </c>
      <c r="D74" s="4">
        <v>184</v>
      </c>
      <c r="E74" s="4">
        <v>41</v>
      </c>
      <c r="F74" t="s">
        <v>79</v>
      </c>
      <c r="G74" t="s">
        <v>36</v>
      </c>
      <c r="I74" t="s">
        <v>402</v>
      </c>
      <c r="J74" s="7" t="s">
        <v>496</v>
      </c>
      <c r="K74" s="7" t="s">
        <v>497</v>
      </c>
      <c r="L74" t="s">
        <v>80</v>
      </c>
      <c r="M74" t="s">
        <v>520</v>
      </c>
      <c r="N74" s="1">
        <v>8832</v>
      </c>
      <c r="P74" s="1"/>
      <c r="Q74" s="1"/>
      <c r="R74" s="1" t="s">
        <v>456</v>
      </c>
      <c r="S74" s="1">
        <v>15138</v>
      </c>
      <c r="T74" s="1">
        <v>15159</v>
      </c>
      <c r="U74" s="14">
        <f t="shared" si="4"/>
        <v>22</v>
      </c>
      <c r="V74" t="s">
        <v>394</v>
      </c>
      <c r="W74" s="4">
        <f t="shared" si="5"/>
        <v>17</v>
      </c>
      <c r="X74" s="4"/>
      <c r="Y74" s="4"/>
      <c r="BD74" t="s">
        <v>512</v>
      </c>
    </row>
    <row r="75" spans="1:56" x14ac:dyDescent="0.3">
      <c r="A75" s="7">
        <v>64</v>
      </c>
      <c r="B75" s="10" t="s">
        <v>453</v>
      </c>
      <c r="C75" t="s">
        <v>361</v>
      </c>
      <c r="D75" s="4" t="s">
        <v>299</v>
      </c>
      <c r="E75" s="4">
        <v>43</v>
      </c>
      <c r="F75" t="s">
        <v>155</v>
      </c>
      <c r="G75" t="s">
        <v>156</v>
      </c>
      <c r="I75" t="s">
        <v>402</v>
      </c>
      <c r="J75" t="s">
        <v>155</v>
      </c>
      <c r="K75" t="s">
        <v>156</v>
      </c>
      <c r="L75" t="s">
        <v>157</v>
      </c>
      <c r="N75" s="1">
        <v>3389</v>
      </c>
      <c r="P75" s="1"/>
      <c r="Q75" s="1"/>
      <c r="R75" s="1" t="s">
        <v>486</v>
      </c>
      <c r="S75" s="1">
        <v>15889</v>
      </c>
      <c r="T75" s="1">
        <v>15895</v>
      </c>
      <c r="U75" s="14">
        <f t="shared" si="4"/>
        <v>7</v>
      </c>
      <c r="V75" t="s">
        <v>440</v>
      </c>
      <c r="W75" s="4">
        <f t="shared" si="5"/>
        <v>34</v>
      </c>
      <c r="X75" s="4"/>
      <c r="Y75" s="4"/>
      <c r="Z75" t="s">
        <v>579</v>
      </c>
      <c r="AB75" t="s">
        <v>580</v>
      </c>
    </row>
    <row r="76" spans="1:56" x14ac:dyDescent="0.3">
      <c r="A76" s="7">
        <v>65</v>
      </c>
      <c r="B76" s="10" t="s">
        <v>454</v>
      </c>
      <c r="C76" t="s">
        <v>350</v>
      </c>
      <c r="D76" s="4">
        <v>323</v>
      </c>
      <c r="E76" s="4">
        <v>43</v>
      </c>
      <c r="F76" t="s">
        <v>158</v>
      </c>
      <c r="G76" t="s">
        <v>50</v>
      </c>
      <c r="H76" t="s">
        <v>159</v>
      </c>
      <c r="I76" t="s">
        <v>464</v>
      </c>
      <c r="J76" t="s">
        <v>158</v>
      </c>
      <c r="K76" t="s">
        <v>50</v>
      </c>
      <c r="L76" t="s">
        <v>160</v>
      </c>
      <c r="N76" s="1">
        <v>6393</v>
      </c>
      <c r="P76" s="1"/>
      <c r="Q76" s="1"/>
      <c r="R76" s="1" t="s">
        <v>486</v>
      </c>
      <c r="S76" s="17">
        <v>15797</v>
      </c>
      <c r="T76" s="1">
        <v>15811</v>
      </c>
      <c r="U76" s="14">
        <f t="shared" si="4"/>
        <v>15</v>
      </c>
      <c r="V76" t="s">
        <v>436</v>
      </c>
      <c r="W76" s="4">
        <f t="shared" si="5"/>
        <v>25</v>
      </c>
      <c r="X76" s="24">
        <v>15811</v>
      </c>
      <c r="Y76" s="24">
        <v>15847</v>
      </c>
      <c r="Z76" t="s">
        <v>581</v>
      </c>
      <c r="AB76" t="s">
        <v>551</v>
      </c>
    </row>
    <row r="77" spans="1:56" x14ac:dyDescent="0.3">
      <c r="A77" s="7">
        <v>61</v>
      </c>
      <c r="B77" s="10" t="s">
        <v>454</v>
      </c>
      <c r="C77" t="s">
        <v>337</v>
      </c>
      <c r="D77" s="4">
        <v>302</v>
      </c>
      <c r="E77" s="4">
        <v>43</v>
      </c>
      <c r="F77" t="s">
        <v>161</v>
      </c>
      <c r="G77" t="s">
        <v>162</v>
      </c>
      <c r="I77" t="s">
        <v>402</v>
      </c>
      <c r="J77" t="s">
        <v>161</v>
      </c>
      <c r="K77" t="s">
        <v>162</v>
      </c>
      <c r="L77" t="s">
        <v>163</v>
      </c>
      <c r="M77" t="s">
        <v>519</v>
      </c>
      <c r="N77" s="1">
        <v>7320</v>
      </c>
      <c r="P77" s="1"/>
      <c r="Q77" s="1"/>
      <c r="R77" s="1" t="s">
        <v>456</v>
      </c>
      <c r="S77" s="17">
        <v>15744</v>
      </c>
      <c r="T77" s="17">
        <v>15765</v>
      </c>
      <c r="U77" s="14">
        <f t="shared" si="4"/>
        <v>22</v>
      </c>
      <c r="V77" t="s">
        <v>434</v>
      </c>
      <c r="W77" s="4">
        <f t="shared" si="5"/>
        <v>23</v>
      </c>
      <c r="X77" s="4"/>
      <c r="Y77" s="4"/>
      <c r="AO77" t="s">
        <v>578</v>
      </c>
      <c r="AP77">
        <v>131476</v>
      </c>
    </row>
    <row r="78" spans="1:56" x14ac:dyDescent="0.3">
      <c r="A78" s="7">
        <v>66</v>
      </c>
      <c r="B78" s="9"/>
      <c r="C78" t="s">
        <v>386</v>
      </c>
      <c r="D78" s="4">
        <v>371</v>
      </c>
      <c r="E78" s="4">
        <v>43</v>
      </c>
      <c r="F78" t="s">
        <v>498</v>
      </c>
      <c r="G78" t="s">
        <v>230</v>
      </c>
      <c r="I78" t="s">
        <v>402</v>
      </c>
      <c r="J78" t="s">
        <v>229</v>
      </c>
      <c r="K78" t="s">
        <v>230</v>
      </c>
      <c r="L78" t="s">
        <v>231</v>
      </c>
      <c r="N78" s="1">
        <v>5985</v>
      </c>
      <c r="P78" s="1"/>
      <c r="Q78" s="1"/>
      <c r="R78" s="1" t="s">
        <v>559</v>
      </c>
      <c r="S78" s="1">
        <v>15979</v>
      </c>
      <c r="T78" s="1">
        <v>15980</v>
      </c>
      <c r="U78" s="14">
        <f t="shared" si="4"/>
        <v>2</v>
      </c>
      <c r="V78" t="s">
        <v>448</v>
      </c>
      <c r="W78" s="4">
        <f t="shared" si="5"/>
        <v>27</v>
      </c>
      <c r="X78" s="4"/>
      <c r="Y78" s="4"/>
    </row>
    <row r="79" spans="1:56" x14ac:dyDescent="0.3">
      <c r="A79" s="7">
        <v>67</v>
      </c>
      <c r="B79" s="10" t="s">
        <v>454</v>
      </c>
      <c r="C79" t="s">
        <v>372</v>
      </c>
      <c r="D79" s="4">
        <v>354</v>
      </c>
      <c r="E79" s="4">
        <v>43</v>
      </c>
      <c r="F79" t="s">
        <v>232</v>
      </c>
      <c r="G79" t="s">
        <v>153</v>
      </c>
      <c r="I79" t="s">
        <v>402</v>
      </c>
      <c r="J79" t="s">
        <v>499</v>
      </c>
      <c r="K79" t="s">
        <v>460</v>
      </c>
      <c r="N79" s="1">
        <v>8645</v>
      </c>
      <c r="P79" s="1"/>
      <c r="Q79" s="1"/>
      <c r="R79" s="1" t="s">
        <v>486</v>
      </c>
      <c r="S79" s="1">
        <v>15917</v>
      </c>
      <c r="T79" s="1">
        <v>15918</v>
      </c>
      <c r="U79" s="14">
        <f t="shared" si="4"/>
        <v>2</v>
      </c>
      <c r="V79" t="s">
        <v>299</v>
      </c>
      <c r="W79" s="4">
        <f t="shared" si="5"/>
        <v>19</v>
      </c>
      <c r="X79" s="4"/>
      <c r="Y79" s="4"/>
      <c r="Z79" t="s">
        <v>582</v>
      </c>
      <c r="AB79" t="s">
        <v>554</v>
      </c>
    </row>
    <row r="80" spans="1:56" x14ac:dyDescent="0.3">
      <c r="A80" s="7">
        <v>68</v>
      </c>
      <c r="B80" s="10" t="s">
        <v>454</v>
      </c>
      <c r="C80" t="s">
        <v>351</v>
      </c>
      <c r="D80" s="4">
        <v>324</v>
      </c>
      <c r="E80" s="4">
        <v>43</v>
      </c>
      <c r="F80" t="s">
        <v>164</v>
      </c>
      <c r="G80" t="s">
        <v>165</v>
      </c>
      <c r="I80" t="s">
        <v>464</v>
      </c>
      <c r="J80" t="s">
        <v>500</v>
      </c>
      <c r="K80" t="s">
        <v>501</v>
      </c>
      <c r="L80" t="s">
        <v>75</v>
      </c>
      <c r="N80" s="1">
        <v>9851</v>
      </c>
      <c r="P80" s="1"/>
      <c r="Q80" s="1"/>
      <c r="R80" s="1" t="s">
        <v>486</v>
      </c>
      <c r="S80" s="1">
        <v>15798</v>
      </c>
      <c r="T80" s="1">
        <v>15801</v>
      </c>
      <c r="U80" s="14">
        <f t="shared" si="4"/>
        <v>4</v>
      </c>
      <c r="V80" t="s">
        <v>437</v>
      </c>
      <c r="W80" s="4">
        <f t="shared" si="5"/>
        <v>16</v>
      </c>
      <c r="X80" s="24">
        <v>15767</v>
      </c>
      <c r="Y80" s="24">
        <v>16569</v>
      </c>
      <c r="Z80" t="s">
        <v>571</v>
      </c>
      <c r="AB80" t="s">
        <v>572</v>
      </c>
    </row>
    <row r="81" spans="1:56" x14ac:dyDescent="0.3">
      <c r="A81" s="7">
        <v>69</v>
      </c>
      <c r="B81" s="10" t="s">
        <v>454</v>
      </c>
      <c r="C81" t="s">
        <v>353</v>
      </c>
      <c r="D81" s="4">
        <v>328</v>
      </c>
      <c r="E81" s="4">
        <v>43</v>
      </c>
      <c r="F81" s="7" t="s">
        <v>502</v>
      </c>
      <c r="G81" t="s">
        <v>166</v>
      </c>
      <c r="I81" t="s">
        <v>402</v>
      </c>
      <c r="J81" t="s">
        <v>503</v>
      </c>
      <c r="K81" t="s">
        <v>166</v>
      </c>
      <c r="L81" t="s">
        <v>167</v>
      </c>
      <c r="N81" s="1">
        <v>7555</v>
      </c>
      <c r="P81" s="1"/>
      <c r="Q81" s="1"/>
      <c r="R81" s="1" t="s">
        <v>486</v>
      </c>
      <c r="S81" s="1">
        <v>15845</v>
      </c>
      <c r="T81" s="1">
        <v>15848</v>
      </c>
      <c r="U81" s="14">
        <f t="shared" si="4"/>
        <v>4</v>
      </c>
      <c r="V81" t="s">
        <v>438</v>
      </c>
      <c r="W81" s="4">
        <f t="shared" si="5"/>
        <v>22</v>
      </c>
      <c r="X81" s="24">
        <v>15693</v>
      </c>
      <c r="Y81" s="24">
        <v>16555</v>
      </c>
      <c r="Z81" t="s">
        <v>583</v>
      </c>
      <c r="AB81" t="s">
        <v>545</v>
      </c>
    </row>
    <row r="82" spans="1:56" x14ac:dyDescent="0.3">
      <c r="A82" s="7">
        <v>70</v>
      </c>
      <c r="B82" s="10" t="s">
        <v>454</v>
      </c>
      <c r="C82" t="s">
        <v>325</v>
      </c>
      <c r="D82" s="4">
        <v>281</v>
      </c>
      <c r="E82" s="4">
        <v>42</v>
      </c>
      <c r="F82" t="s">
        <v>168</v>
      </c>
      <c r="G82" t="s">
        <v>169</v>
      </c>
      <c r="I82" t="s">
        <v>464</v>
      </c>
      <c r="J82" t="s">
        <v>168</v>
      </c>
      <c r="K82" t="s">
        <v>169</v>
      </c>
      <c r="L82" t="s">
        <v>170</v>
      </c>
      <c r="N82" s="1">
        <v>6998</v>
      </c>
      <c r="P82" s="1"/>
      <c r="Q82" s="1"/>
      <c r="R82" s="1" t="s">
        <v>556</v>
      </c>
      <c r="S82" s="17">
        <v>15655</v>
      </c>
      <c r="T82" s="17">
        <v>15657</v>
      </c>
      <c r="U82" s="14">
        <f t="shared" si="4"/>
        <v>3</v>
      </c>
      <c r="V82" t="s">
        <v>394</v>
      </c>
      <c r="W82" s="4">
        <f t="shared" si="5"/>
        <v>23</v>
      </c>
      <c r="X82" s="24">
        <v>15279</v>
      </c>
      <c r="Y82" s="24">
        <v>16547</v>
      </c>
      <c r="Z82" t="s">
        <v>584</v>
      </c>
      <c r="AA82" t="s">
        <v>585</v>
      </c>
      <c r="AB82" t="s">
        <v>586</v>
      </c>
      <c r="AC82" s="3" t="s">
        <v>587</v>
      </c>
    </row>
    <row r="83" spans="1:56" x14ac:dyDescent="0.3">
      <c r="A83" s="7">
        <v>71</v>
      </c>
      <c r="B83" s="9" t="s">
        <v>454</v>
      </c>
      <c r="C83" t="s">
        <v>362</v>
      </c>
      <c r="D83" s="4" t="s">
        <v>299</v>
      </c>
      <c r="E83" s="4">
        <v>43</v>
      </c>
      <c r="F83" t="s">
        <v>171</v>
      </c>
      <c r="G83" t="s">
        <v>172</v>
      </c>
      <c r="I83" t="s">
        <v>464</v>
      </c>
      <c r="J83" t="s">
        <v>171</v>
      </c>
      <c r="K83" t="s">
        <v>172</v>
      </c>
      <c r="L83" t="s">
        <v>22</v>
      </c>
      <c r="N83" s="1">
        <v>7857</v>
      </c>
      <c r="P83" s="1"/>
      <c r="Q83" s="1"/>
      <c r="R83" s="1" t="s">
        <v>486</v>
      </c>
      <c r="S83" s="1">
        <v>15890</v>
      </c>
      <c r="T83" s="1">
        <v>15892</v>
      </c>
      <c r="U83" s="14">
        <f t="shared" si="4"/>
        <v>3</v>
      </c>
      <c r="V83" t="s">
        <v>394</v>
      </c>
      <c r="W83" s="4">
        <f t="shared" si="5"/>
        <v>21</v>
      </c>
      <c r="X83" s="4"/>
      <c r="Y83" s="4"/>
    </row>
    <row r="84" spans="1:56" x14ac:dyDescent="0.3">
      <c r="A84" s="7">
        <v>72</v>
      </c>
      <c r="B84" s="10" t="s">
        <v>454</v>
      </c>
      <c r="C84" t="s">
        <v>388</v>
      </c>
      <c r="D84" s="4">
        <v>373</v>
      </c>
      <c r="E84" s="4">
        <v>43</v>
      </c>
      <c r="F84" t="s">
        <v>233</v>
      </c>
      <c r="G84" t="s">
        <v>130</v>
      </c>
      <c r="I84" t="s">
        <v>402</v>
      </c>
      <c r="J84" t="s">
        <v>233</v>
      </c>
      <c r="K84" t="s">
        <v>130</v>
      </c>
      <c r="L84" t="s">
        <v>75</v>
      </c>
      <c r="N84" s="1">
        <v>9481</v>
      </c>
      <c r="P84" s="1"/>
      <c r="Q84" s="1"/>
      <c r="R84" s="1" t="s">
        <v>486</v>
      </c>
      <c r="S84" s="1">
        <v>15981</v>
      </c>
      <c r="T84" s="1">
        <v>15983</v>
      </c>
      <c r="U84" s="14">
        <f t="shared" si="4"/>
        <v>3</v>
      </c>
      <c r="V84" t="s">
        <v>299</v>
      </c>
      <c r="W84" s="4">
        <f t="shared" si="5"/>
        <v>17</v>
      </c>
      <c r="X84" s="24">
        <v>15899</v>
      </c>
      <c r="Y84" s="24">
        <v>16011</v>
      </c>
      <c r="Z84" t="s">
        <v>579</v>
      </c>
      <c r="AB84" t="s">
        <v>545</v>
      </c>
      <c r="BD84" t="s">
        <v>513</v>
      </c>
    </row>
    <row r="85" spans="1:56" x14ac:dyDescent="0.3">
      <c r="A85" s="7">
        <v>73</v>
      </c>
      <c r="B85" s="10" t="s">
        <v>454</v>
      </c>
      <c r="C85" t="s">
        <v>341</v>
      </c>
      <c r="D85" s="4">
        <v>307</v>
      </c>
      <c r="E85" s="4">
        <v>43</v>
      </c>
      <c r="F85" t="s">
        <v>173</v>
      </c>
      <c r="G85" t="s">
        <v>174</v>
      </c>
      <c r="I85" t="s">
        <v>464</v>
      </c>
      <c r="J85" t="s">
        <v>508</v>
      </c>
      <c r="K85" t="s">
        <v>509</v>
      </c>
      <c r="N85" s="1">
        <v>8307</v>
      </c>
      <c r="P85" s="1"/>
      <c r="Q85" s="1"/>
      <c r="R85" s="1" t="s">
        <v>486</v>
      </c>
      <c r="S85" s="1">
        <v>15757</v>
      </c>
      <c r="T85" s="1">
        <v>15768</v>
      </c>
      <c r="U85" s="14">
        <f t="shared" si="4"/>
        <v>12</v>
      </c>
      <c r="V85" t="s">
        <v>437</v>
      </c>
      <c r="W85" s="4">
        <f t="shared" si="5"/>
        <v>20</v>
      </c>
      <c r="X85" s="24">
        <v>15568</v>
      </c>
      <c r="Y85" s="24">
        <v>17308</v>
      </c>
      <c r="Z85" t="s">
        <v>588</v>
      </c>
      <c r="AB85" t="s">
        <v>551</v>
      </c>
      <c r="AO85" t="s">
        <v>590</v>
      </c>
      <c r="AP85">
        <v>50463</v>
      </c>
      <c r="BD85" t="s">
        <v>514</v>
      </c>
    </row>
    <row r="86" spans="1:56" x14ac:dyDescent="0.3">
      <c r="A86" s="7">
        <v>74</v>
      </c>
      <c r="B86" s="10" t="s">
        <v>454</v>
      </c>
      <c r="C86" t="s">
        <v>342</v>
      </c>
      <c r="D86" s="4">
        <v>308</v>
      </c>
      <c r="E86" s="4">
        <v>43</v>
      </c>
      <c r="F86" t="s">
        <v>175</v>
      </c>
      <c r="G86" t="s">
        <v>176</v>
      </c>
      <c r="I86" t="s">
        <v>402</v>
      </c>
      <c r="J86" s="3" t="s">
        <v>504</v>
      </c>
      <c r="K86" t="s">
        <v>505</v>
      </c>
      <c r="N86" s="1">
        <v>8841</v>
      </c>
      <c r="P86" s="1"/>
      <c r="Q86" s="1"/>
      <c r="R86" s="1" t="s">
        <v>566</v>
      </c>
      <c r="S86" s="1">
        <v>15759</v>
      </c>
      <c r="T86" s="1">
        <v>15768</v>
      </c>
      <c r="U86" s="14">
        <f t="shared" si="4"/>
        <v>10</v>
      </c>
      <c r="V86" t="s">
        <v>394</v>
      </c>
      <c r="W86" s="4">
        <f t="shared" si="5"/>
        <v>18</v>
      </c>
      <c r="X86" s="24">
        <v>15382</v>
      </c>
      <c r="Y86" s="24">
        <v>16309</v>
      </c>
      <c r="Z86" t="s">
        <v>589</v>
      </c>
    </row>
    <row r="87" spans="1:56" x14ac:dyDescent="0.3">
      <c r="A87" s="7">
        <v>75</v>
      </c>
      <c r="B87" s="9"/>
      <c r="C87" t="s">
        <v>380</v>
      </c>
      <c r="D87" s="4">
        <v>363</v>
      </c>
      <c r="E87" s="4">
        <v>43</v>
      </c>
      <c r="F87" t="s">
        <v>234</v>
      </c>
      <c r="G87" t="s">
        <v>235</v>
      </c>
      <c r="I87" t="s">
        <v>464</v>
      </c>
      <c r="J87" t="s">
        <v>234</v>
      </c>
      <c r="K87" t="s">
        <v>235</v>
      </c>
      <c r="L87" t="s">
        <v>236</v>
      </c>
      <c r="N87" s="1">
        <v>9228</v>
      </c>
      <c r="P87" s="1"/>
      <c r="Q87" s="1"/>
      <c r="R87" s="1"/>
      <c r="S87" s="1">
        <v>15958</v>
      </c>
      <c r="T87" s="1">
        <v>15974</v>
      </c>
      <c r="U87" s="14">
        <f t="shared" si="4"/>
        <v>17</v>
      </c>
      <c r="V87" t="s">
        <v>394</v>
      </c>
      <c r="W87" s="4">
        <f t="shared" si="5"/>
        <v>18</v>
      </c>
      <c r="X87" s="4"/>
      <c r="Y87" s="4"/>
    </row>
    <row r="88" spans="1:56" x14ac:dyDescent="0.3">
      <c r="A88" s="7">
        <v>76</v>
      </c>
      <c r="B88" s="9"/>
      <c r="C88" t="s">
        <v>368</v>
      </c>
      <c r="D88" s="4">
        <v>349</v>
      </c>
      <c r="E88" s="4">
        <v>43</v>
      </c>
      <c r="F88" t="s">
        <v>237</v>
      </c>
      <c r="G88" t="s">
        <v>238</v>
      </c>
      <c r="I88" t="s">
        <v>402</v>
      </c>
      <c r="J88" t="s">
        <v>237</v>
      </c>
      <c r="K88" t="s">
        <v>238</v>
      </c>
      <c r="N88" s="1">
        <v>7071</v>
      </c>
      <c r="P88" s="1"/>
      <c r="Q88" s="1"/>
      <c r="R88" s="1"/>
      <c r="S88" s="17">
        <v>15904</v>
      </c>
      <c r="T88" s="17">
        <v>15928</v>
      </c>
      <c r="U88" s="14">
        <f t="shared" si="4"/>
        <v>25</v>
      </c>
      <c r="V88" t="s">
        <v>442</v>
      </c>
      <c r="W88" s="4">
        <f t="shared" si="5"/>
        <v>24</v>
      </c>
      <c r="X88" s="4"/>
      <c r="Y88" s="4"/>
    </row>
    <row r="89" spans="1:56" x14ac:dyDescent="0.3">
      <c r="A89" s="7">
        <v>77</v>
      </c>
      <c r="B89" s="10" t="s">
        <v>454</v>
      </c>
      <c r="C89" t="s">
        <v>301</v>
      </c>
      <c r="D89" s="4">
        <v>188</v>
      </c>
      <c r="E89" s="4">
        <v>41</v>
      </c>
      <c r="F89" t="s">
        <v>81</v>
      </c>
      <c r="G89" t="s">
        <v>36</v>
      </c>
      <c r="I89" t="s">
        <v>402</v>
      </c>
      <c r="J89" t="s">
        <v>81</v>
      </c>
      <c r="K89" t="s">
        <v>36</v>
      </c>
      <c r="L89" t="s">
        <v>82</v>
      </c>
      <c r="N89" s="1">
        <v>6314</v>
      </c>
      <c r="P89" s="1"/>
      <c r="Q89" s="1"/>
      <c r="R89" s="1" t="s">
        <v>556</v>
      </c>
      <c r="S89" s="17">
        <v>15152</v>
      </c>
      <c r="T89" s="17">
        <v>15161</v>
      </c>
      <c r="U89" s="14">
        <f t="shared" si="4"/>
        <v>10</v>
      </c>
      <c r="V89" t="s">
        <v>422</v>
      </c>
      <c r="W89" s="4">
        <f t="shared" si="5"/>
        <v>24</v>
      </c>
      <c r="X89" s="4"/>
      <c r="Y89" s="4"/>
    </row>
    <row r="90" spans="1:56" x14ac:dyDescent="0.3">
      <c r="A90" s="7">
        <v>78</v>
      </c>
      <c r="B90" s="10" t="s">
        <v>454</v>
      </c>
      <c r="C90" t="s">
        <v>304</v>
      </c>
      <c r="D90" s="4">
        <v>220</v>
      </c>
      <c r="E90" s="4">
        <v>41</v>
      </c>
      <c r="F90" t="s">
        <v>83</v>
      </c>
      <c r="G90" t="s">
        <v>33</v>
      </c>
      <c r="I90" t="s">
        <v>402</v>
      </c>
      <c r="J90" t="s">
        <v>459</v>
      </c>
      <c r="K90" t="s">
        <v>33</v>
      </c>
      <c r="L90" t="s">
        <v>80</v>
      </c>
      <c r="M90" t="s">
        <v>520</v>
      </c>
      <c r="N90" s="1">
        <v>7604</v>
      </c>
      <c r="P90" s="1"/>
      <c r="Q90" s="1"/>
      <c r="R90" s="1" t="s">
        <v>456</v>
      </c>
      <c r="S90" s="1">
        <v>15276</v>
      </c>
      <c r="T90" s="1">
        <v>15297</v>
      </c>
      <c r="U90" s="14">
        <f t="shared" si="4"/>
        <v>22</v>
      </c>
      <c r="V90" t="s">
        <v>423</v>
      </c>
      <c r="W90" s="4">
        <f t="shared" si="5"/>
        <v>21</v>
      </c>
      <c r="X90" s="4"/>
      <c r="Y90" s="4"/>
    </row>
    <row r="91" spans="1:56" x14ac:dyDescent="0.3">
      <c r="A91" s="7">
        <v>78</v>
      </c>
      <c r="B91" s="10" t="s">
        <v>454</v>
      </c>
      <c r="C91" t="s">
        <v>306</v>
      </c>
      <c r="D91" s="4">
        <v>225</v>
      </c>
      <c r="E91" s="4">
        <v>41</v>
      </c>
      <c r="F91" t="s">
        <v>83</v>
      </c>
      <c r="G91" t="s">
        <v>84</v>
      </c>
      <c r="I91" t="s">
        <v>402</v>
      </c>
      <c r="J91" t="s">
        <v>459</v>
      </c>
      <c r="K91" t="s">
        <v>33</v>
      </c>
      <c r="L91" t="s">
        <v>80</v>
      </c>
      <c r="M91" t="s">
        <v>520</v>
      </c>
      <c r="N91" s="1">
        <v>4672</v>
      </c>
      <c r="P91" s="1"/>
      <c r="Q91" s="1"/>
      <c r="R91" s="1" t="s">
        <v>456</v>
      </c>
      <c r="S91" s="1">
        <v>15307</v>
      </c>
      <c r="T91" s="1">
        <v>15311</v>
      </c>
      <c r="U91" s="14">
        <f t="shared" si="4"/>
        <v>5</v>
      </c>
      <c r="V91" t="s">
        <v>424</v>
      </c>
      <c r="W91" s="4">
        <f t="shared" si="5"/>
        <v>29</v>
      </c>
      <c r="X91" s="4"/>
      <c r="Y91" s="4"/>
    </row>
    <row r="92" spans="1:56" x14ac:dyDescent="0.3">
      <c r="A92" s="7">
        <v>78</v>
      </c>
      <c r="B92" s="10" t="s">
        <v>454</v>
      </c>
      <c r="C92" t="s">
        <v>315</v>
      </c>
      <c r="D92" s="4">
        <v>250</v>
      </c>
      <c r="E92" s="4">
        <v>42</v>
      </c>
      <c r="F92" t="s">
        <v>83</v>
      </c>
      <c r="G92" t="s">
        <v>84</v>
      </c>
      <c r="I92" t="s">
        <v>402</v>
      </c>
      <c r="J92" t="s">
        <v>459</v>
      </c>
      <c r="K92" t="s">
        <v>33</v>
      </c>
      <c r="L92" t="s">
        <v>85</v>
      </c>
      <c r="M92" t="s">
        <v>520</v>
      </c>
      <c r="N92" s="1">
        <v>7594</v>
      </c>
      <c r="P92" s="1"/>
      <c r="Q92" s="1"/>
      <c r="R92" s="1" t="s">
        <v>456</v>
      </c>
      <c r="S92" s="1">
        <v>15499</v>
      </c>
      <c r="T92" s="1">
        <v>15519</v>
      </c>
      <c r="U92" s="14">
        <f t="shared" si="4"/>
        <v>21</v>
      </c>
      <c r="V92" t="s">
        <v>424</v>
      </c>
      <c r="W92" s="4">
        <f t="shared" si="5"/>
        <v>21</v>
      </c>
      <c r="X92" s="4"/>
      <c r="Y92" s="4"/>
    </row>
    <row r="93" spans="1:56" x14ac:dyDescent="0.3">
      <c r="A93" s="7">
        <v>79</v>
      </c>
      <c r="B93" s="10" t="s">
        <v>454</v>
      </c>
      <c r="C93" t="s">
        <v>364</v>
      </c>
      <c r="D93" s="4">
        <v>345</v>
      </c>
      <c r="E93" s="4">
        <v>43</v>
      </c>
      <c r="F93" t="s">
        <v>239</v>
      </c>
      <c r="G93" t="s">
        <v>240</v>
      </c>
      <c r="I93" t="s">
        <v>402</v>
      </c>
      <c r="J93" t="s">
        <v>506</v>
      </c>
      <c r="K93" t="s">
        <v>240</v>
      </c>
      <c r="L93" t="s">
        <v>241</v>
      </c>
      <c r="N93" s="1">
        <v>8964</v>
      </c>
      <c r="P93" s="1"/>
      <c r="Q93" s="1"/>
      <c r="R93" s="1" t="s">
        <v>404</v>
      </c>
      <c r="S93" s="1">
        <v>15892</v>
      </c>
      <c r="T93" s="1">
        <v>15893</v>
      </c>
      <c r="U93" s="14">
        <f t="shared" si="4"/>
        <v>2</v>
      </c>
      <c r="V93" t="s">
        <v>424</v>
      </c>
      <c r="W93" s="4">
        <f t="shared" si="5"/>
        <v>18</v>
      </c>
      <c r="X93" s="4"/>
      <c r="Y93" s="4"/>
      <c r="Z93" t="s">
        <v>533</v>
      </c>
      <c r="AB93" t="s">
        <v>572</v>
      </c>
    </row>
    <row r="94" spans="1:56" x14ac:dyDescent="0.3">
      <c r="A94" s="7">
        <v>80</v>
      </c>
      <c r="B94" s="10" t="s">
        <v>453</v>
      </c>
      <c r="C94" t="s">
        <v>382</v>
      </c>
      <c r="D94" s="4">
        <v>367</v>
      </c>
      <c r="E94" s="4">
        <v>43</v>
      </c>
      <c r="F94" t="s">
        <v>242</v>
      </c>
      <c r="G94" t="s">
        <v>243</v>
      </c>
      <c r="I94" t="s">
        <v>402</v>
      </c>
      <c r="J94" t="s">
        <v>242</v>
      </c>
      <c r="K94" t="s">
        <v>243</v>
      </c>
      <c r="L94" t="s">
        <v>75</v>
      </c>
      <c r="N94" s="1">
        <v>9106</v>
      </c>
      <c r="P94" s="1"/>
      <c r="Q94" s="1"/>
      <c r="R94" s="1" t="s">
        <v>486</v>
      </c>
      <c r="S94" s="1">
        <v>15976</v>
      </c>
      <c r="T94" s="1">
        <v>15979</v>
      </c>
      <c r="U94" s="14">
        <f t="shared" si="4"/>
        <v>4</v>
      </c>
      <c r="V94" t="s">
        <v>394</v>
      </c>
      <c r="W94" s="4">
        <f t="shared" si="5"/>
        <v>18</v>
      </c>
      <c r="X94" s="24">
        <v>15897</v>
      </c>
      <c r="Y94" s="24">
        <v>16062</v>
      </c>
      <c r="Z94" t="s">
        <v>579</v>
      </c>
      <c r="AB94" t="s">
        <v>591</v>
      </c>
    </row>
    <row r="95" spans="1:56" x14ac:dyDescent="0.3">
      <c r="A95" s="7">
        <v>81</v>
      </c>
      <c r="B95" s="10" t="s">
        <v>453</v>
      </c>
      <c r="C95" t="s">
        <v>326</v>
      </c>
      <c r="D95" s="4">
        <v>282</v>
      </c>
      <c r="E95" s="4">
        <v>42</v>
      </c>
      <c r="F95" t="s">
        <v>177</v>
      </c>
      <c r="G95" t="s">
        <v>178</v>
      </c>
      <c r="I95" t="s">
        <v>402</v>
      </c>
      <c r="J95" t="s">
        <v>177</v>
      </c>
      <c r="K95" t="s">
        <v>178</v>
      </c>
      <c r="R95" s="1" t="s">
        <v>556</v>
      </c>
      <c r="S95" s="1">
        <v>15657</v>
      </c>
      <c r="T95" s="1">
        <v>15658</v>
      </c>
      <c r="U95" s="14">
        <f t="shared" si="4"/>
        <v>2</v>
      </c>
      <c r="V95" t="s">
        <v>394</v>
      </c>
      <c r="W95" s="4">
        <f t="shared" si="5"/>
        <v>42</v>
      </c>
      <c r="X95" s="24">
        <v>15658</v>
      </c>
      <c r="Y95" s="24">
        <v>16547</v>
      </c>
      <c r="Z95" t="s">
        <v>584</v>
      </c>
    </row>
    <row r="96" spans="1:56" x14ac:dyDescent="0.3">
      <c r="A96" s="7">
        <v>81</v>
      </c>
      <c r="B96" s="10" t="s">
        <v>453</v>
      </c>
      <c r="C96" t="s">
        <v>357</v>
      </c>
      <c r="D96" s="4">
        <v>335</v>
      </c>
      <c r="E96" s="4">
        <v>43</v>
      </c>
      <c r="F96" t="s">
        <v>177</v>
      </c>
      <c r="G96" t="s">
        <v>179</v>
      </c>
      <c r="I96" t="s">
        <v>402</v>
      </c>
      <c r="J96" t="s">
        <v>177</v>
      </c>
      <c r="K96" t="s">
        <v>179</v>
      </c>
      <c r="N96" s="1">
        <v>5160</v>
      </c>
      <c r="P96" s="1"/>
      <c r="Q96" s="1"/>
      <c r="R96" s="1" t="s">
        <v>556</v>
      </c>
      <c r="S96" s="17">
        <v>15869</v>
      </c>
      <c r="T96" s="17">
        <v>15875</v>
      </c>
      <c r="U96" s="14">
        <f t="shared" si="4"/>
        <v>7</v>
      </c>
      <c r="V96" t="s">
        <v>439</v>
      </c>
      <c r="W96" s="4">
        <f t="shared" si="5"/>
        <v>29</v>
      </c>
      <c r="X96" s="24">
        <v>15658</v>
      </c>
      <c r="Y96" s="24">
        <v>16547</v>
      </c>
      <c r="Z96" t="s">
        <v>584</v>
      </c>
    </row>
    <row r="97" spans="1:56" x14ac:dyDescent="0.3">
      <c r="A97" s="7">
        <v>82</v>
      </c>
      <c r="B97" s="10" t="s">
        <v>453</v>
      </c>
      <c r="C97" t="s">
        <v>305</v>
      </c>
      <c r="D97" s="4">
        <v>224</v>
      </c>
      <c r="E97" s="4">
        <v>41</v>
      </c>
      <c r="F97" t="s">
        <v>86</v>
      </c>
      <c r="G97" t="s">
        <v>87</v>
      </c>
      <c r="I97" t="s">
        <v>402</v>
      </c>
      <c r="J97" t="s">
        <v>86</v>
      </c>
      <c r="K97" t="s">
        <v>87</v>
      </c>
      <c r="L97" t="s">
        <v>14</v>
      </c>
      <c r="M97" t="s">
        <v>519</v>
      </c>
      <c r="N97" s="1">
        <v>6434</v>
      </c>
      <c r="P97" s="1"/>
      <c r="Q97" s="1"/>
      <c r="R97" s="1" t="s">
        <v>456</v>
      </c>
      <c r="S97" s="1">
        <v>15304</v>
      </c>
      <c r="T97" s="1">
        <v>15311</v>
      </c>
      <c r="U97" s="14">
        <f t="shared" si="4"/>
        <v>8</v>
      </c>
      <c r="V97" t="s">
        <v>424</v>
      </c>
      <c r="W97" s="4">
        <f t="shared" si="5"/>
        <v>24</v>
      </c>
      <c r="X97" s="4"/>
      <c r="Y97" s="4"/>
    </row>
    <row r="98" spans="1:56" x14ac:dyDescent="0.3">
      <c r="A98" s="7">
        <v>82</v>
      </c>
      <c r="B98" s="10" t="s">
        <v>453</v>
      </c>
      <c r="C98" t="s">
        <v>313</v>
      </c>
      <c r="D98" s="4" t="s">
        <v>314</v>
      </c>
      <c r="E98" s="4">
        <v>42</v>
      </c>
      <c r="F98" t="s">
        <v>86</v>
      </c>
      <c r="G98" t="s">
        <v>88</v>
      </c>
      <c r="I98" t="s">
        <v>402</v>
      </c>
      <c r="J98" t="s">
        <v>86</v>
      </c>
      <c r="K98" t="s">
        <v>88</v>
      </c>
      <c r="L98" t="s">
        <v>14</v>
      </c>
      <c r="M98" t="s">
        <v>519</v>
      </c>
      <c r="N98" s="1">
        <v>6434</v>
      </c>
      <c r="P98" s="1"/>
      <c r="Q98" s="1"/>
      <c r="R98" s="1" t="s">
        <v>456</v>
      </c>
      <c r="S98" s="1">
        <v>15493</v>
      </c>
      <c r="T98" s="1">
        <v>15494</v>
      </c>
      <c r="U98" s="14">
        <f t="shared" si="4"/>
        <v>2</v>
      </c>
      <c r="V98" t="s">
        <v>428</v>
      </c>
      <c r="W98" s="4">
        <f t="shared" si="5"/>
        <v>24</v>
      </c>
      <c r="X98" s="4"/>
      <c r="Y98" s="4"/>
    </row>
    <row r="99" spans="1:56" x14ac:dyDescent="0.3">
      <c r="A99" s="7">
        <v>82</v>
      </c>
      <c r="B99" s="10" t="s">
        <v>453</v>
      </c>
      <c r="C99" t="s">
        <v>316</v>
      </c>
      <c r="D99" s="4">
        <v>255</v>
      </c>
      <c r="E99" s="4">
        <v>42</v>
      </c>
      <c r="F99" t="s">
        <v>86</v>
      </c>
      <c r="G99" t="s">
        <v>89</v>
      </c>
      <c r="I99" t="s">
        <v>402</v>
      </c>
      <c r="J99" t="s">
        <v>86</v>
      </c>
      <c r="K99" t="s">
        <v>89</v>
      </c>
      <c r="L99" t="s">
        <v>14</v>
      </c>
      <c r="M99" t="s">
        <v>519</v>
      </c>
      <c r="N99" s="1">
        <v>6434</v>
      </c>
      <c r="P99" s="1"/>
      <c r="Q99" s="1"/>
      <c r="R99" s="1" t="s">
        <v>456</v>
      </c>
      <c r="S99" s="1">
        <v>15550</v>
      </c>
      <c r="T99" s="1">
        <v>15552</v>
      </c>
      <c r="U99" s="14">
        <f t="shared" si="4"/>
        <v>3</v>
      </c>
      <c r="V99" t="s">
        <v>429</v>
      </c>
      <c r="W99" s="4">
        <f t="shared" si="5"/>
        <v>24</v>
      </c>
      <c r="X99" s="4"/>
      <c r="Y99" s="4"/>
    </row>
    <row r="100" spans="1:56" x14ac:dyDescent="0.3">
      <c r="A100" s="7">
        <v>82</v>
      </c>
      <c r="B100" s="10" t="s">
        <v>453</v>
      </c>
      <c r="C100" t="s">
        <v>319</v>
      </c>
      <c r="D100" s="4">
        <v>262</v>
      </c>
      <c r="E100" s="4">
        <v>42</v>
      </c>
      <c r="F100" t="s">
        <v>86</v>
      </c>
      <c r="G100" t="s">
        <v>89</v>
      </c>
      <c r="I100" t="s">
        <v>402</v>
      </c>
      <c r="J100" t="s">
        <v>86</v>
      </c>
      <c r="K100" t="s">
        <v>89</v>
      </c>
      <c r="L100" t="s">
        <v>14</v>
      </c>
      <c r="M100" t="s">
        <v>519</v>
      </c>
      <c r="N100" s="1">
        <v>6434</v>
      </c>
      <c r="P100" s="1"/>
      <c r="Q100" s="1"/>
      <c r="R100" s="1" t="s">
        <v>456</v>
      </c>
      <c r="S100" s="17">
        <v>15572</v>
      </c>
      <c r="T100" s="17">
        <v>15595</v>
      </c>
      <c r="U100" s="14">
        <f t="shared" si="4"/>
        <v>24</v>
      </c>
      <c r="V100" t="s">
        <v>424</v>
      </c>
      <c r="W100" s="4">
        <f t="shared" si="5"/>
        <v>25</v>
      </c>
      <c r="X100" s="4"/>
      <c r="Y100" s="4"/>
    </row>
    <row r="101" spans="1:56" x14ac:dyDescent="0.3">
      <c r="A101" s="7">
        <v>83</v>
      </c>
      <c r="B101" s="10" t="s">
        <v>453</v>
      </c>
      <c r="C101" t="s">
        <v>324</v>
      </c>
      <c r="D101" s="4">
        <v>279</v>
      </c>
      <c r="E101" s="4">
        <v>42</v>
      </c>
      <c r="F101" t="s">
        <v>180</v>
      </c>
      <c r="G101" t="s">
        <v>181</v>
      </c>
      <c r="I101" t="s">
        <v>464</v>
      </c>
      <c r="J101" t="s">
        <v>180</v>
      </c>
      <c r="K101" t="s">
        <v>181</v>
      </c>
      <c r="L101" t="s">
        <v>182</v>
      </c>
      <c r="N101" s="1">
        <v>5944</v>
      </c>
      <c r="P101" s="1"/>
      <c r="Q101" s="1"/>
      <c r="R101" s="1" t="s">
        <v>449</v>
      </c>
      <c r="S101" s="17">
        <v>15655</v>
      </c>
      <c r="T101" s="17">
        <v>15657</v>
      </c>
      <c r="U101" s="14">
        <f t="shared" si="4"/>
        <v>3</v>
      </c>
      <c r="V101" t="s">
        <v>394</v>
      </c>
      <c r="W101" s="4">
        <f t="shared" si="5"/>
        <v>26</v>
      </c>
      <c r="X101" s="4"/>
      <c r="Y101" s="4"/>
    </row>
    <row r="102" spans="1:56" x14ac:dyDescent="0.3">
      <c r="A102" s="7">
        <v>83</v>
      </c>
      <c r="B102" s="10" t="s">
        <v>453</v>
      </c>
      <c r="C102" t="s">
        <v>343</v>
      </c>
      <c r="D102" s="4">
        <v>309</v>
      </c>
      <c r="E102" s="4">
        <v>43</v>
      </c>
      <c r="F102" t="s">
        <v>180</v>
      </c>
      <c r="G102" t="s">
        <v>183</v>
      </c>
      <c r="I102" t="s">
        <v>464</v>
      </c>
      <c r="J102" t="s">
        <v>180</v>
      </c>
      <c r="K102" t="s">
        <v>183</v>
      </c>
      <c r="N102" s="1">
        <v>5944</v>
      </c>
      <c r="P102" s="1"/>
      <c r="Q102" s="1"/>
      <c r="R102" s="1" t="s">
        <v>449</v>
      </c>
      <c r="S102" s="1">
        <v>15762</v>
      </c>
      <c r="T102" s="1">
        <v>15766</v>
      </c>
      <c r="U102" s="14">
        <f t="shared" ref="U102:U108" si="6">DATEDIF($S102,$T102+1,"d")</f>
        <v>5</v>
      </c>
      <c r="V102" t="s">
        <v>424</v>
      </c>
      <c r="W102" s="4">
        <f t="shared" ref="W102:W108" si="7">DATEDIF($N102,$S102,"y")</f>
        <v>26</v>
      </c>
      <c r="X102" s="4"/>
      <c r="Y102" s="4"/>
    </row>
    <row r="103" spans="1:56" x14ac:dyDescent="0.3">
      <c r="A103" s="7">
        <v>83</v>
      </c>
      <c r="B103" s="10" t="s">
        <v>453</v>
      </c>
      <c r="C103" t="s">
        <v>360</v>
      </c>
      <c r="D103" s="4">
        <v>341</v>
      </c>
      <c r="E103" s="4">
        <v>43</v>
      </c>
      <c r="F103" t="s">
        <v>180</v>
      </c>
      <c r="G103" t="s">
        <v>183</v>
      </c>
      <c r="I103" t="s">
        <v>464</v>
      </c>
      <c r="J103" t="s">
        <v>180</v>
      </c>
      <c r="K103" t="s">
        <v>183</v>
      </c>
      <c r="N103" s="1">
        <v>5944</v>
      </c>
      <c r="P103" s="1"/>
      <c r="Q103" s="1"/>
      <c r="R103" s="1" t="s">
        <v>449</v>
      </c>
      <c r="S103" s="1">
        <v>15889</v>
      </c>
      <c r="T103" s="1">
        <v>15897</v>
      </c>
      <c r="U103" s="14">
        <f t="shared" si="6"/>
        <v>9</v>
      </c>
      <c r="V103" t="s">
        <v>299</v>
      </c>
      <c r="W103" s="4">
        <f t="shared" si="7"/>
        <v>27</v>
      </c>
      <c r="X103" s="4"/>
      <c r="Y103" s="4"/>
    </row>
    <row r="104" spans="1:56" x14ac:dyDescent="0.3">
      <c r="A104" s="7">
        <v>84</v>
      </c>
      <c r="B104" s="9"/>
      <c r="C104" t="s">
        <v>323</v>
      </c>
      <c r="D104" s="4">
        <v>277</v>
      </c>
      <c r="E104" s="4">
        <v>42</v>
      </c>
      <c r="F104" t="s">
        <v>184</v>
      </c>
      <c r="G104" t="s">
        <v>84</v>
      </c>
      <c r="I104" t="s">
        <v>402</v>
      </c>
      <c r="J104" t="s">
        <v>184</v>
      </c>
      <c r="K104" t="s">
        <v>84</v>
      </c>
      <c r="N104" s="1">
        <v>8649</v>
      </c>
      <c r="P104" s="1"/>
      <c r="Q104" s="1"/>
      <c r="R104" s="1"/>
      <c r="S104" s="17">
        <v>15655</v>
      </c>
      <c r="T104" s="17">
        <v>15657</v>
      </c>
      <c r="U104" s="14">
        <f t="shared" si="6"/>
        <v>3</v>
      </c>
      <c r="V104" t="s">
        <v>394</v>
      </c>
      <c r="W104" s="4">
        <f t="shared" si="7"/>
        <v>19</v>
      </c>
      <c r="X104" s="4"/>
      <c r="Y104" s="4"/>
    </row>
    <row r="105" spans="1:56" x14ac:dyDescent="0.3">
      <c r="A105" s="7">
        <v>85</v>
      </c>
      <c r="B105" s="10" t="s">
        <v>454</v>
      </c>
      <c r="C105" t="s">
        <v>344</v>
      </c>
      <c r="D105" s="4">
        <v>310</v>
      </c>
      <c r="E105" s="4">
        <v>43</v>
      </c>
      <c r="F105" t="s">
        <v>185</v>
      </c>
      <c r="G105" t="s">
        <v>186</v>
      </c>
      <c r="I105" t="s">
        <v>402</v>
      </c>
      <c r="J105" t="s">
        <v>185</v>
      </c>
      <c r="K105" t="s">
        <v>186</v>
      </c>
      <c r="N105" s="1">
        <v>9005</v>
      </c>
      <c r="P105" s="1"/>
      <c r="Q105" s="1"/>
      <c r="R105" s="1" t="s">
        <v>456</v>
      </c>
      <c r="S105" s="1">
        <v>15796</v>
      </c>
      <c r="T105" s="1">
        <v>15797</v>
      </c>
      <c r="U105" s="14">
        <f t="shared" si="6"/>
        <v>2</v>
      </c>
      <c r="V105" t="s">
        <v>394</v>
      </c>
      <c r="W105" s="4">
        <f t="shared" si="7"/>
        <v>18</v>
      </c>
      <c r="X105" s="4"/>
      <c r="Y105" s="4"/>
    </row>
    <row r="106" spans="1:56" x14ac:dyDescent="0.3">
      <c r="A106" s="7">
        <v>86</v>
      </c>
      <c r="B106" s="19" t="s">
        <v>454</v>
      </c>
      <c r="C106" t="s">
        <v>336</v>
      </c>
      <c r="D106" s="4">
        <v>302</v>
      </c>
      <c r="E106" s="4">
        <v>43</v>
      </c>
      <c r="F106" t="s">
        <v>187</v>
      </c>
      <c r="G106" t="s">
        <v>36</v>
      </c>
      <c r="I106" t="s">
        <v>402</v>
      </c>
      <c r="J106" t="s">
        <v>187</v>
      </c>
      <c r="K106" t="s">
        <v>36</v>
      </c>
      <c r="L106" t="s">
        <v>163</v>
      </c>
      <c r="M106" t="s">
        <v>519</v>
      </c>
      <c r="N106" s="1">
        <v>6165</v>
      </c>
      <c r="P106" s="1"/>
      <c r="Q106" s="1"/>
      <c r="R106" s="1" t="s">
        <v>456</v>
      </c>
      <c r="S106" s="17">
        <v>15744</v>
      </c>
      <c r="T106" s="17">
        <v>15762</v>
      </c>
      <c r="U106" s="14">
        <f t="shared" si="6"/>
        <v>19</v>
      </c>
      <c r="V106" t="s">
        <v>434</v>
      </c>
      <c r="W106" s="4">
        <f t="shared" si="7"/>
        <v>26</v>
      </c>
      <c r="X106" s="4"/>
      <c r="Y106" s="4"/>
      <c r="AO106" t="s">
        <v>478</v>
      </c>
    </row>
    <row r="107" spans="1:56" x14ac:dyDescent="0.3">
      <c r="A107" s="7">
        <v>87</v>
      </c>
      <c r="B107" s="10" t="s">
        <v>454</v>
      </c>
      <c r="C107" t="s">
        <v>291</v>
      </c>
      <c r="D107" s="4">
        <v>178</v>
      </c>
      <c r="E107" s="4">
        <v>41</v>
      </c>
      <c r="F107" t="s">
        <v>90</v>
      </c>
      <c r="G107" t="s">
        <v>91</v>
      </c>
      <c r="I107" t="s">
        <v>402</v>
      </c>
      <c r="J107" t="s">
        <v>90</v>
      </c>
      <c r="K107" t="s">
        <v>91</v>
      </c>
      <c r="L107" t="s">
        <v>92</v>
      </c>
      <c r="N107" s="1">
        <v>289</v>
      </c>
      <c r="P107" s="1"/>
      <c r="Q107" s="1"/>
      <c r="R107" s="1" t="s">
        <v>456</v>
      </c>
      <c r="S107" s="1">
        <v>15108</v>
      </c>
      <c r="T107" s="1">
        <v>15116</v>
      </c>
      <c r="U107" s="14">
        <f t="shared" si="6"/>
        <v>9</v>
      </c>
      <c r="V107" t="s">
        <v>420</v>
      </c>
      <c r="W107" s="4">
        <f t="shared" si="7"/>
        <v>40</v>
      </c>
      <c r="X107" s="4"/>
      <c r="Y107" s="4"/>
      <c r="Z107" t="s">
        <v>592</v>
      </c>
      <c r="AB107" t="s">
        <v>593</v>
      </c>
      <c r="BD107" t="s">
        <v>515</v>
      </c>
    </row>
    <row r="108" spans="1:56" x14ac:dyDescent="0.3">
      <c r="A108" s="7">
        <v>88</v>
      </c>
      <c r="B108" s="9"/>
      <c r="C108" t="s">
        <v>333</v>
      </c>
      <c r="D108" s="4">
        <v>292</v>
      </c>
      <c r="E108" s="4">
        <v>43</v>
      </c>
      <c r="F108" t="s">
        <v>188</v>
      </c>
      <c r="G108" t="s">
        <v>189</v>
      </c>
      <c r="I108" t="s">
        <v>402</v>
      </c>
      <c r="J108" t="s">
        <v>188</v>
      </c>
      <c r="K108" t="s">
        <v>189</v>
      </c>
      <c r="L108" t="s">
        <v>190</v>
      </c>
      <c r="N108" s="1">
        <v>9095</v>
      </c>
      <c r="P108" s="1"/>
      <c r="Q108" s="1"/>
      <c r="R108" s="1" t="s">
        <v>299</v>
      </c>
      <c r="S108" s="1">
        <v>15710</v>
      </c>
      <c r="T108" s="1">
        <v>15711</v>
      </c>
      <c r="U108" s="14">
        <f t="shared" si="6"/>
        <v>2</v>
      </c>
      <c r="V108" t="s">
        <v>424</v>
      </c>
      <c r="W108" s="4">
        <f t="shared" si="7"/>
        <v>18</v>
      </c>
      <c r="X108" s="4"/>
      <c r="Y108" s="4"/>
    </row>
  </sheetData>
  <sortState xmlns:xlrd2="http://schemas.microsoft.com/office/spreadsheetml/2017/richdata2" ref="A6:BD108">
    <sortCondition ref="F6:F108"/>
  </sortState>
  <phoneticPr fontId="2" type="noConversion"/>
  <pageMargins left="0.7" right="0.7" top="0.78740157499999996" bottom="0.78740157499999996" header="0.3" footer="0.3"/>
  <pageSetup paperSize="9" orientation="portrait" r:id="rId1"/>
  <ignoredErrors>
    <ignoredError sqref="N5 AN5 AU5 F5:H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ExportResult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</dc:creator>
  <cp:lastModifiedBy>spree kucker</cp:lastModifiedBy>
  <dcterms:created xsi:type="dcterms:W3CDTF">2025-09-20T14:00:18Z</dcterms:created>
  <dcterms:modified xsi:type="dcterms:W3CDTF">2025-10-06T23:09:25Z</dcterms:modified>
</cp:coreProperties>
</file>